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Dashboard" sheetId="1" state="visible" r:id="rId1"/>
    <sheet xmlns:r="http://schemas.openxmlformats.org/officeDocument/2006/relationships" name="Performance Comparison" sheetId="2" state="visible" r:id="rId2"/>
    <sheet xmlns:r="http://schemas.openxmlformats.org/officeDocument/2006/relationships" name="Correlation Analysis" sheetId="3" state="visible" r:id="rId3"/>
    <sheet xmlns:r="http://schemas.openxmlformats.org/officeDocument/2006/relationships" name="Risk Analysis" sheetId="4" state="visible" r:id="rId4"/>
    <sheet xmlns:r="http://schemas.openxmlformats.org/officeDocument/2006/relationships" name="Annual Ratios" sheetId="5" state="visible" r:id="rId5"/>
    <sheet xmlns:r="http://schemas.openxmlformats.org/officeDocument/2006/relationships" name="Visualiz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0.0&quot;%&quot;"/>
    <numFmt numFmtId="167" formatCode="0.0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b val="1"/>
      <color rgb="00FFFFFF"/>
      <sz val="11"/>
    </font>
    <font>
      <color rgb="0000B050"/>
    </font>
    <font>
      <b val="1"/>
      <sz val="14"/>
    </font>
    <font>
      <b val="1"/>
    </font>
    <font>
      <b val="1"/>
      <sz val="10"/>
    </font>
    <font>
      <sz val="9"/>
    </font>
    <font>
      <i val="1"/>
      <sz val="9"/>
    </font>
    <font>
      <color rgb="00FF0000"/>
    </font>
    <font>
      <b val="1"/>
      <color rgb="00FF0000"/>
    </font>
    <font>
      <b val="1"/>
      <color rgb="00FF8C00"/>
    </font>
    <font>
      <b val="1"/>
      <color rgb="0000B05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5" fillId="3" borderId="0" applyAlignment="1" pivotButton="0" quotePrefix="0" xfId="0">
      <alignment horizontal="center"/>
    </xf>
    <xf numFmtId="166" fontId="0" fillId="0" borderId="0" pivotButton="0" quotePrefix="0" xfId="0"/>
    <xf numFmtId="164" fontId="6" fillId="0" borderId="0" pivotButton="0" quotePrefix="0" xfId="0"/>
    <xf numFmtId="165" fontId="6" fillId="0" borderId="0" pivotButton="0" quotePrefix="0" xfId="0"/>
    <xf numFmtId="2" fontId="0" fillId="0" borderId="0" pivotButton="0" quotePrefix="0" xfId="0"/>
    <xf numFmtId="0" fontId="7" fillId="0" borderId="0" applyAlignment="1" pivotButton="0" quotePrefix="0" xfId="0">
      <alignment horizontal="center"/>
    </xf>
    <xf numFmtId="167" fontId="0" fillId="0" borderId="0" pivotButton="0" quotePrefix="0" xfId="0"/>
    <xf numFmtId="1" fontId="0" fillId="0" borderId="0" pivotButton="0" quotePrefix="0" xfId="0"/>
    <xf numFmtId="0" fontId="8" fillId="0" borderId="0" pivotButton="0" quotePrefix="0" xfId="0"/>
    <xf numFmtId="165" fontId="8" fillId="0" borderId="0" pivotButton="0" quotePrefix="0" xfId="0"/>
    <xf numFmtId="2" fontId="8" fillId="0" borderId="0" pivotButton="0" quotePrefix="0" xfId="0"/>
    <xf numFmtId="166" fontId="8" fillId="0" borderId="0" pivotButton="0" quotePrefix="0" xfId="0"/>
    <xf numFmtId="167" fontId="8" fillId="0" borderId="0" pivotButton="0" quotePrefix="0" xfId="0"/>
    <xf numFmtId="1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3" borderId="0" pivotButton="0" quotePrefix="0" xfId="0"/>
    <xf numFmtId="2" fontId="0" fillId="4" borderId="0" pivotButton="0" quotePrefix="0" xfId="0"/>
    <xf numFmtId="0" fontId="11" fillId="0" borderId="0" pivotButton="0" quotePrefix="0" xfId="0"/>
    <xf numFmtId="0" fontId="5" fillId="3" borderId="0" pivotButton="0" quotePrefix="0" xfId="0"/>
    <xf numFmtId="165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2" fontId="12" fillId="0" borderId="0" pivotButton="0" quotePrefix="0" xfId="0"/>
    <xf numFmtId="2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Return %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'Visualizations'!$A$5:$A$7</f>
            </numRef>
          </cat>
          <val>
            <numRef>
              <f>'Visualizations'!$B$5:$B$7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Security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Sharpe Ratio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'Visualizations'!$A$5:$A$7</f>
            </numRef>
          </cat>
          <val>
            <numRef>
              <f>'Visualizations'!$C$5:$C$7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Security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Risk-Return Profile</a:t>
            </a:r>
          </a:p>
        </rich>
      </tx>
    </title>
    <plotArea>
      <scatterChart>
        <ser>
          <idx val="0"/>
          <order val="0"/>
          <tx>
            <v>Securities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'Visualizations'!$D$5:$D$7</f>
            </numRef>
          </xVal>
          <yVal>
            <numRef>
              <f>'Visualizations'!$B$5:$B$7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24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45</row>
      <rowOff>0</rowOff>
    </from>
    <ext cx="720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5" customWidth="1" min="4" max="4"/>
    <col width="12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BATCH BACKTEST SUMMARY</t>
        </is>
      </c>
    </row>
    <row r="2">
      <c r="A2" s="2" t="inlineStr">
        <is>
          <t>AlphaTrendStrategy_test_1</t>
        </is>
      </c>
    </row>
    <row r="4">
      <c r="A4" t="inlineStr">
        <is>
          <t>Securities Tested:</t>
        </is>
      </c>
      <c r="B4" t="n">
        <v>3</v>
      </c>
    </row>
    <row r="5">
      <c r="A5" t="inlineStr">
        <is>
          <t>Total Trades:</t>
        </is>
      </c>
      <c r="B5" t="n">
        <v>228</v>
      </c>
    </row>
    <row r="6">
      <c r="A6" t="inlineStr">
        <is>
          <t>Initial Capital per Security:</t>
        </is>
      </c>
      <c r="B6" s="3" t="n">
        <v>16000</v>
      </c>
    </row>
    <row r="8">
      <c r="A8" s="4" t="inlineStr">
        <is>
          <t>AGGREGATE PERFORMANCE</t>
        </is>
      </c>
    </row>
    <row r="9">
      <c r="A9" s="5" t="inlineStr">
        <is>
          <t>Total P/L (All Securities)</t>
        </is>
      </c>
      <c r="B9" s="3" t="n">
        <v>77626.68645183861</v>
      </c>
    </row>
    <row r="10">
      <c r="A10" s="5" t="inlineStr">
        <is>
          <t>Average P/L per Security</t>
        </is>
      </c>
      <c r="B10" s="3" t="n">
        <v>25875.56215061287</v>
      </c>
    </row>
    <row r="11">
      <c r="A11" s="5" t="inlineStr">
        <is>
          <t>Average Return %</t>
        </is>
      </c>
      <c r="B11" s="6" t="n">
        <v>161.7222634413304</v>
      </c>
    </row>
    <row r="12">
      <c r="A12" s="5" t="inlineStr">
        <is>
          <t>Profitable Securities</t>
        </is>
      </c>
      <c r="B12" s="7" t="n">
        <v>3</v>
      </c>
    </row>
    <row r="13">
      <c r="A13" s="5" t="inlineStr">
        <is>
          <t>% Profitable</t>
        </is>
      </c>
      <c r="B13" s="6" t="n">
        <v>100</v>
      </c>
    </row>
    <row r="14">
      <c r="A14" s="5" t="inlineStr">
        <is>
          <t>Aggregate Win Rate</t>
        </is>
      </c>
      <c r="B14" s="6" t="n">
        <v>42.98245614035088</v>
      </c>
    </row>
    <row r="16">
      <c r="A16" s="4" t="inlineStr">
        <is>
          <t>BEST &amp; WORST PERFORMERS</t>
        </is>
      </c>
    </row>
    <row r="17">
      <c r="A17" s="5" t="inlineStr">
        <is>
          <t>Best Performer</t>
        </is>
      </c>
      <c r="B17" t="inlineStr">
        <is>
          <t>AAPL</t>
        </is>
      </c>
    </row>
    <row r="18">
      <c r="A18" s="5" t="inlineStr">
        <is>
          <t xml:space="preserve">  Return ($)</t>
        </is>
      </c>
      <c r="B18" s="3" t="n">
        <v>55086.78554760493</v>
      </c>
    </row>
    <row r="19">
      <c r="A19" s="5" t="inlineStr">
        <is>
          <t xml:space="preserve">  Return (%)</t>
        </is>
      </c>
      <c r="B19" s="6" t="n">
        <v>344.2924096725308</v>
      </c>
    </row>
    <row r="20">
      <c r="A20" s="5" t="inlineStr"/>
      <c r="B20" t="inlineStr"/>
    </row>
    <row r="21">
      <c r="A21" s="5" t="inlineStr">
        <is>
          <t>Worst Performer</t>
        </is>
      </c>
      <c r="B21" t="inlineStr">
        <is>
          <t>DLY</t>
        </is>
      </c>
    </row>
    <row r="22">
      <c r="A22" s="5" t="inlineStr">
        <is>
          <t xml:space="preserve">  Return ($)</t>
        </is>
      </c>
      <c r="B22" s="3" t="n">
        <v>2984.838057710127</v>
      </c>
    </row>
    <row r="23">
      <c r="A23" s="5" t="inlineStr">
        <is>
          <t xml:space="preserve">  Return (%)</t>
        </is>
      </c>
      <c r="B23" s="6" t="n">
        <v>18.6552378606883</v>
      </c>
    </row>
    <row r="26">
      <c r="A26" s="4" t="inlineStr">
        <is>
          <t>INDIVIDUAL SECURITY SUMMARY</t>
        </is>
      </c>
    </row>
    <row r="27">
      <c r="A27" s="8" t="inlineStr">
        <is>
          <t>Symbol</t>
        </is>
      </c>
      <c r="B27" s="8" t="inlineStr">
        <is>
          <t>Trades</t>
        </is>
      </c>
      <c r="C27" s="8" t="inlineStr">
        <is>
          <t>Win Rate %</t>
        </is>
      </c>
      <c r="D27" s="8" t="inlineStr">
        <is>
          <t>Total Return $</t>
        </is>
      </c>
      <c r="E27" s="8" t="inlineStr">
        <is>
          <t>Return %</t>
        </is>
      </c>
      <c r="F27" s="8" t="inlineStr">
        <is>
          <t>Sharpe</t>
        </is>
      </c>
      <c r="G27" s="8" t="inlineStr">
        <is>
          <t>Max DD %</t>
        </is>
      </c>
      <c r="H27" s="8" t="inlineStr">
        <is>
          <t>Profit Factor</t>
        </is>
      </c>
    </row>
    <row r="28">
      <c r="A28" t="inlineStr">
        <is>
          <t>AAPL</t>
        </is>
      </c>
      <c r="B28" t="n">
        <v>81</v>
      </c>
      <c r="C28" s="9" t="n">
        <v>46.91358024691358</v>
      </c>
      <c r="D28" s="10" t="n">
        <v>55086.78554760493</v>
      </c>
      <c r="E28" s="11" t="n">
        <v>344.2924096725308</v>
      </c>
      <c r="F28" s="12" t="n">
        <v>0.5684996809428412</v>
      </c>
      <c r="G28" s="6" t="n">
        <v>12.18919979058913</v>
      </c>
      <c r="H28" s="12" t="n">
        <v>3.208050464912131</v>
      </c>
    </row>
    <row r="29">
      <c r="A29" t="inlineStr">
        <is>
          <t>BLK</t>
        </is>
      </c>
      <c r="B29" t="n">
        <v>72</v>
      </c>
      <c r="C29" s="9" t="n">
        <v>47.22222222222222</v>
      </c>
      <c r="D29" s="10" t="n">
        <v>19555.06284652355</v>
      </c>
      <c r="E29" s="11" t="n">
        <v>122.2191427907722</v>
      </c>
      <c r="F29" s="12" t="n">
        <v>0.2004072985752582</v>
      </c>
      <c r="G29" s="6" t="n">
        <v>15.78172439066217</v>
      </c>
      <c r="H29" s="12" t="n">
        <v>2.891799409071476</v>
      </c>
    </row>
    <row r="30">
      <c r="A30" t="inlineStr">
        <is>
          <t>DLY</t>
        </is>
      </c>
      <c r="B30" t="n">
        <v>75</v>
      </c>
      <c r="C30" s="9" t="n">
        <v>34.66666666666667</v>
      </c>
      <c r="D30" s="10" t="n">
        <v>2984.838057710127</v>
      </c>
      <c r="E30" s="11" t="n">
        <v>18.6552378606883</v>
      </c>
      <c r="F30" s="12" t="n">
        <v>-0.1713226698546749</v>
      </c>
      <c r="G30" s="6" t="n">
        <v>20.16355695499814</v>
      </c>
      <c r="H30" s="12" t="n">
        <v>1.167084950111035</v>
      </c>
    </row>
  </sheetData>
  <mergeCells count="5">
    <mergeCell ref="A1:D1"/>
    <mergeCell ref="A8:D8"/>
    <mergeCell ref="A26:D26"/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3" t="inlineStr">
        <is>
          <t>DETAILED PERFORMANCE COMPARISON</t>
        </is>
      </c>
    </row>
    <row r="3">
      <c r="A3" s="8" t="inlineStr">
        <is>
          <t>Symbol</t>
        </is>
      </c>
      <c r="B3" s="8" t="inlineStr">
        <is>
          <t>Total Return %</t>
        </is>
      </c>
      <c r="C3" s="8" t="inlineStr">
        <is>
          <t>CAGR %</t>
        </is>
      </c>
      <c r="D3" s="8" t="inlineStr">
        <is>
          <t>Sharpe</t>
        </is>
      </c>
      <c r="E3" s="8" t="inlineStr">
        <is>
          <t>Sortino</t>
        </is>
      </c>
      <c r="F3" s="8" t="inlineStr">
        <is>
          <t>Max DD %</t>
        </is>
      </c>
      <c r="G3" s="8" t="inlineStr">
        <is>
          <t>Win Rate %</t>
        </is>
      </c>
      <c r="H3" s="8" t="inlineStr">
        <is>
          <t>Avg Trade Days</t>
        </is>
      </c>
      <c r="I3" s="8" t="inlineStr">
        <is>
          <t>Volatility %</t>
        </is>
      </c>
      <c r="J3" s="8" t="inlineStr">
        <is>
          <t>Profit Factor</t>
        </is>
      </c>
      <c r="K3" s="8" t="inlineStr">
        <is>
          <t>Num Trades</t>
        </is>
      </c>
    </row>
    <row r="4">
      <c r="A4" t="inlineStr">
        <is>
          <t>AAPL</t>
        </is>
      </c>
      <c r="B4" s="6" t="n">
        <v>344.2924096725308</v>
      </c>
      <c r="C4" s="6" t="n">
        <v>0</v>
      </c>
      <c r="D4" s="12" t="n">
        <v>0.5684996809428412</v>
      </c>
      <c r="E4" s="12" t="n">
        <v>0.3813185380035972</v>
      </c>
      <c r="F4" s="6" t="n">
        <v>12.18919979058913</v>
      </c>
      <c r="G4" s="9" t="n">
        <v>46.91358024691358</v>
      </c>
      <c r="H4" s="14" t="n">
        <v>60.60493827160494</v>
      </c>
      <c r="I4" s="6" t="n">
        <v>7.110098948156722</v>
      </c>
      <c r="J4" s="12" t="n">
        <v>3.208050464912131</v>
      </c>
      <c r="K4" s="15" t="n">
        <v>81</v>
      </c>
    </row>
    <row r="5">
      <c r="A5" t="inlineStr">
        <is>
          <t>BLK</t>
        </is>
      </c>
      <c r="B5" s="6" t="n">
        <v>122.2191427907722</v>
      </c>
      <c r="C5" s="6" t="n">
        <v>0</v>
      </c>
      <c r="D5" s="12" t="n">
        <v>0.2004072985752582</v>
      </c>
      <c r="E5" s="12" t="n">
        <v>-0.01908725808857308</v>
      </c>
      <c r="F5" s="6" t="n">
        <v>15.78172439066217</v>
      </c>
      <c r="G5" s="9" t="n">
        <v>47.22222222222222</v>
      </c>
      <c r="H5" s="14" t="n">
        <v>56.73611111111111</v>
      </c>
      <c r="I5" s="6" t="n">
        <v>6.621564035784641</v>
      </c>
      <c r="J5" s="12" t="n">
        <v>2.891799409071476</v>
      </c>
      <c r="K5" s="15" t="n">
        <v>72</v>
      </c>
    </row>
    <row r="6">
      <c r="A6" t="inlineStr">
        <is>
          <t>DLY</t>
        </is>
      </c>
      <c r="B6" s="6" t="n">
        <v>18.6552378606883</v>
      </c>
      <c r="C6" s="6" t="n">
        <v>0</v>
      </c>
      <c r="D6" s="12" t="n">
        <v>-0.1713226698546749</v>
      </c>
      <c r="E6" s="12" t="n">
        <v>-0.3685292957875088</v>
      </c>
      <c r="F6" s="6" t="n">
        <v>20.16355695499814</v>
      </c>
      <c r="G6" s="9" t="n">
        <v>34.66666666666667</v>
      </c>
      <c r="H6" s="14" t="n">
        <v>46.13333333333333</v>
      </c>
      <c r="I6" s="6" t="n">
        <v>6.327150136016073</v>
      </c>
      <c r="J6" s="12" t="n">
        <v>1.167084950111035</v>
      </c>
      <c r="K6" s="15" t="n">
        <v>75</v>
      </c>
    </row>
    <row r="8">
      <c r="A8" s="16" t="inlineStr">
        <is>
          <t>AVERAGE</t>
        </is>
      </c>
      <c r="B8" s="17">
        <f>AVERAGE(B4:B6)</f>
        <v/>
      </c>
      <c r="C8" s="17">
        <f>AVERAGE(C4:C6)</f>
        <v/>
      </c>
      <c r="D8" s="18">
        <f>AVERAGE(D4:D6)</f>
        <v/>
      </c>
      <c r="E8" s="18">
        <f>AVERAGE(E4:E6)</f>
        <v/>
      </c>
      <c r="F8" s="17">
        <f>AVERAGE(F4:F6)</f>
        <v/>
      </c>
      <c r="G8" s="19">
        <f>AVERAGE(G4:G6)</f>
        <v/>
      </c>
      <c r="H8" s="20">
        <f>AVERAGE(H4:H6)</f>
        <v/>
      </c>
      <c r="I8" s="17">
        <f>AVERAGE(I4:I6)</f>
        <v/>
      </c>
      <c r="J8" s="18">
        <f>AVERAGE(J4:J6)</f>
        <v/>
      </c>
      <c r="K8" s="21">
        <f>AVERAGE(K4:K6)</f>
        <v/>
      </c>
    </row>
  </sheetData>
  <mergeCells count="1">
    <mergeCell ref="A1:F1"/>
  </mergeCells>
  <conditionalFormatting sqref="B4:B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3" t="inlineStr">
        <is>
          <t>CORRELATION ANALYSIS</t>
        </is>
      </c>
    </row>
    <row r="3">
      <c r="A3" s="4" t="inlineStr">
        <is>
          <t>CORRELATION SUMMARY STATISTICS</t>
        </is>
      </c>
    </row>
    <row r="4">
      <c r="A4" s="5" t="inlineStr">
        <is>
          <t>Average Return Correlation</t>
        </is>
      </c>
      <c r="B4" s="12" t="n">
        <v>0.1489664516472532</v>
      </c>
    </row>
    <row r="5">
      <c r="A5" s="5" t="inlineStr">
        <is>
          <t>Maximum Correlation</t>
        </is>
      </c>
      <c r="B5" s="12" t="n">
        <v>0.2006436149232495</v>
      </c>
    </row>
    <row r="6">
      <c r="A6" s="5" t="inlineStr">
        <is>
          <t>Minimum Correlation</t>
        </is>
      </c>
      <c r="B6" s="12" t="n">
        <v>0.1136114328332492</v>
      </c>
    </row>
    <row r="7">
      <c r="A7" s="5" t="inlineStr">
        <is>
          <t>Highly Correlated Pairs (&gt;0.7)</t>
        </is>
      </c>
      <c r="B7" s="7" t="n">
        <v>0</v>
      </c>
    </row>
    <row r="8">
      <c r="A8" s="5" t="inlineStr">
        <is>
          <t>Negatively Correlated Pairs (&lt;-0.3)</t>
        </is>
      </c>
      <c r="B8" s="7" t="n">
        <v>0</v>
      </c>
    </row>
    <row r="11">
      <c r="A11" s="22" t="inlineStr">
        <is>
          <t>Correlation Interpretation:</t>
        </is>
      </c>
    </row>
    <row r="12">
      <c r="A12" s="23" t="inlineStr">
        <is>
          <t>• Low correlation (&lt;0.3): Securities move independently - good diversification</t>
        </is>
      </c>
    </row>
    <row r="13">
      <c r="A13" s="23" t="inlineStr">
        <is>
          <t>• Medium correlation (0.3-0.7): Some relationship - moderate diversification</t>
        </is>
      </c>
    </row>
    <row r="14">
      <c r="A14" s="23" t="inlineStr">
        <is>
          <t>• High correlation (&gt;0.7): Securities move together - limited diversification benefit</t>
        </is>
      </c>
    </row>
    <row r="15">
      <c r="A15" s="23" t="inlineStr">
        <is>
          <t>• Negative correlation (&lt;0): Securities move opposite - potential hedging opportunities</t>
        </is>
      </c>
    </row>
    <row r="17">
      <c r="A17" s="4" t="inlineStr">
        <is>
          <t>RETURN CORRELATION MATRIX</t>
        </is>
      </c>
    </row>
    <row r="18">
      <c r="A18" s="24" t="inlineStr"/>
      <c r="B18" s="8" t="inlineStr">
        <is>
          <t>AAPL</t>
        </is>
      </c>
      <c r="C18" s="8" t="inlineStr">
        <is>
          <t>BLK</t>
        </is>
      </c>
      <c r="D18" s="8" t="inlineStr">
        <is>
          <t>DLY</t>
        </is>
      </c>
    </row>
    <row r="19">
      <c r="A19" s="16" t="inlineStr">
        <is>
          <t>AAPL</t>
        </is>
      </c>
      <c r="B19" s="12" t="n">
        <v>1</v>
      </c>
      <c r="C19" s="25" t="n">
        <v>0.2006436149232495</v>
      </c>
      <c r="D19" s="25" t="n">
        <v>0.1136114328332492</v>
      </c>
    </row>
    <row r="20">
      <c r="A20" s="16" t="inlineStr">
        <is>
          <t>BLK</t>
        </is>
      </c>
      <c r="B20" s="25" t="n">
        <v>0.2006436149232495</v>
      </c>
      <c r="C20" s="12" t="n">
        <v>1</v>
      </c>
      <c r="D20" s="25" t="n">
        <v>0.1326443071852609</v>
      </c>
    </row>
    <row r="21">
      <c r="A21" s="16" t="inlineStr">
        <is>
          <t>DLY</t>
        </is>
      </c>
      <c r="B21" s="25" t="n">
        <v>0.1136114328332492</v>
      </c>
      <c r="C21" s="25" t="n">
        <v>0.1326443071852609</v>
      </c>
      <c r="D21" s="12" t="n">
        <v>1</v>
      </c>
    </row>
    <row r="23">
      <c r="A23" s="4" t="inlineStr">
        <is>
          <t>DRAWDOWN CORRELATION MATRIX</t>
        </is>
      </c>
    </row>
    <row r="24">
      <c r="A24" s="26" t="inlineStr">
        <is>
          <t>(Shows if securities tend to have drawdowns at the same time)</t>
        </is>
      </c>
    </row>
    <row r="25">
      <c r="A25" s="24" t="inlineStr"/>
      <c r="B25" s="8" t="inlineStr">
        <is>
          <t>AAPL</t>
        </is>
      </c>
      <c r="C25" s="8" t="inlineStr">
        <is>
          <t>BLK</t>
        </is>
      </c>
      <c r="D25" s="8" t="inlineStr">
        <is>
          <t>DLY</t>
        </is>
      </c>
    </row>
    <row r="26">
      <c r="A26" s="16" t="inlineStr">
        <is>
          <t>AAPL</t>
        </is>
      </c>
      <c r="B26" s="12" t="n">
        <v>1</v>
      </c>
      <c r="C26" s="12" t="n">
        <v>0.1640012273957765</v>
      </c>
      <c r="D26" s="12" t="n">
        <v/>
      </c>
    </row>
    <row r="27">
      <c r="A27" s="16" t="inlineStr">
        <is>
          <t>BLK</t>
        </is>
      </c>
      <c r="B27" s="12" t="n">
        <v>0.1640012273957765</v>
      </c>
      <c r="C27" s="12" t="n">
        <v>1</v>
      </c>
      <c r="D27" s="12" t="n">
        <v/>
      </c>
    </row>
    <row r="28">
      <c r="A28" s="16" t="inlineStr">
        <is>
          <t>DLY</t>
        </is>
      </c>
      <c r="B28" s="12" t="n">
        <v/>
      </c>
      <c r="C28" s="12" t="n">
        <v/>
      </c>
      <c r="D28" s="12" t="n">
        <v/>
      </c>
    </row>
    <row r="31">
      <c r="A31" s="4" t="inlineStr">
        <is>
          <t>YEAR-BY-YEAR CORRELATION TRENDS</t>
        </is>
      </c>
    </row>
    <row r="32">
      <c r="A32" s="27" t="inlineStr">
        <is>
          <t>Year</t>
        </is>
      </c>
      <c r="B32" s="27" t="inlineStr">
        <is>
          <t>Avg Correlation</t>
        </is>
      </c>
      <c r="C32" s="27" t="inlineStr">
        <is>
          <t>Max Correlation</t>
        </is>
      </c>
      <c r="D32" s="27" t="inlineStr">
        <is>
          <t>Min Correlation</t>
        </is>
      </c>
      <c r="E32" s="27" t="inlineStr">
        <is>
          <t>Num Pairs</t>
        </is>
      </c>
    </row>
    <row r="33">
      <c r="A33" t="inlineStr">
        <is>
          <t>2001</t>
        </is>
      </c>
      <c r="B33" s="12" t="n">
        <v>0.03762485361952835</v>
      </c>
      <c r="C33" s="12" t="n">
        <v>0.08818758880037403</v>
      </c>
      <c r="D33" s="12" t="n">
        <v>-0.004281598498469187</v>
      </c>
      <c r="E33" t="n">
        <v>3</v>
      </c>
    </row>
    <row r="34">
      <c r="A34" t="inlineStr">
        <is>
          <t>2002</t>
        </is>
      </c>
      <c r="B34" s="12" t="n">
        <v>0.09010270382131678</v>
      </c>
      <c r="C34" s="12" t="n">
        <v>0.2593084372458537</v>
      </c>
      <c r="D34" s="12" t="n">
        <v>-0.002907484325833856</v>
      </c>
      <c r="E34" t="n">
        <v>3</v>
      </c>
    </row>
    <row r="35">
      <c r="A35" t="inlineStr">
        <is>
          <t>2003</t>
        </is>
      </c>
      <c r="B35" s="12" t="n">
        <v>0.09149117777928113</v>
      </c>
      <c r="C35" s="12" t="n">
        <v>0.1118288287784547</v>
      </c>
      <c r="D35" s="12" t="n">
        <v>0.05233066729559863</v>
      </c>
      <c r="E35" t="n">
        <v>3</v>
      </c>
    </row>
    <row r="36">
      <c r="A36" t="inlineStr">
        <is>
          <t>2004</t>
        </is>
      </c>
      <c r="B36" s="12" t="n">
        <v>0.0005251756689746247</v>
      </c>
      <c r="C36" s="12" t="n">
        <v>0.0005251756689746247</v>
      </c>
      <c r="D36" s="12" t="n">
        <v>0.0005251756689746247</v>
      </c>
      <c r="E36" t="n">
        <v>1</v>
      </c>
    </row>
    <row r="37">
      <c r="A37" t="inlineStr">
        <is>
          <t>2005</t>
        </is>
      </c>
      <c r="B37" s="12" t="n">
        <v>-0.04271714545340957</v>
      </c>
      <c r="C37" s="12" t="n">
        <v>0.05475429507518974</v>
      </c>
      <c r="D37" s="12" t="n">
        <v>-0.1878588224957169</v>
      </c>
      <c r="E37" t="n">
        <v>3</v>
      </c>
    </row>
    <row r="38">
      <c r="A38" t="inlineStr">
        <is>
          <t>2006</t>
        </is>
      </c>
      <c r="B38" s="12" t="n">
        <v>0.02493674524744283</v>
      </c>
      <c r="C38" s="12" t="n">
        <v>0.08790407270741665</v>
      </c>
      <c r="D38" s="12" t="n">
        <v>-0.01000537118407132</v>
      </c>
      <c r="E38" t="n">
        <v>3</v>
      </c>
    </row>
    <row r="39">
      <c r="A39" t="inlineStr">
        <is>
          <t>2007</t>
        </is>
      </c>
      <c r="B39" s="12" t="n">
        <v>0.1266120376034064</v>
      </c>
      <c r="C39" s="12" t="n">
        <v>0.2398492988184754</v>
      </c>
      <c r="D39" s="12" t="n">
        <v>-0.01427572665479726</v>
      </c>
      <c r="E39" t="n">
        <v>3</v>
      </c>
    </row>
    <row r="40">
      <c r="A40" t="inlineStr">
        <is>
          <t>2008</t>
        </is>
      </c>
      <c r="B40" s="12" t="n">
        <v>0.2060640258268837</v>
      </c>
      <c r="C40" s="12" t="n">
        <v>0.4428944382500473</v>
      </c>
      <c r="D40" s="12" t="n">
        <v>0.06210762874045589</v>
      </c>
      <c r="E40" t="n">
        <v>3</v>
      </c>
    </row>
    <row r="41">
      <c r="A41" t="inlineStr">
        <is>
          <t>2009</t>
        </is>
      </c>
      <c r="B41" s="12" t="n">
        <v>0.3210542713952747</v>
      </c>
      <c r="C41" s="12" t="n">
        <v>0.5012818569240038</v>
      </c>
      <c r="D41" s="12" t="n">
        <v>0.2278430257223051</v>
      </c>
      <c r="E41" t="n">
        <v>3</v>
      </c>
    </row>
    <row r="42">
      <c r="A42" t="inlineStr">
        <is>
          <t>2010</t>
        </is>
      </c>
      <c r="B42" s="12" t="n">
        <v>0.1042756137457852</v>
      </c>
      <c r="C42" s="12" t="n">
        <v>0.2921448831788837</v>
      </c>
      <c r="D42" s="12" t="n">
        <v>0.0008309772595849997</v>
      </c>
      <c r="E42" t="n">
        <v>3</v>
      </c>
    </row>
    <row r="43">
      <c r="A43" t="inlineStr">
        <is>
          <t>2011</t>
        </is>
      </c>
      <c r="B43" s="12" t="n">
        <v>0.1585105170812007</v>
      </c>
      <c r="C43" s="12" t="n">
        <v>0.3661198992686967</v>
      </c>
      <c r="D43" s="12" t="n">
        <v>0.04381825423115464</v>
      </c>
      <c r="E43" t="n">
        <v>3</v>
      </c>
    </row>
    <row r="44">
      <c r="A44" t="inlineStr">
        <is>
          <t>2012</t>
        </is>
      </c>
      <c r="B44" s="12" t="n">
        <v>0.147038517911481</v>
      </c>
      <c r="C44" s="12" t="n">
        <v>0.194856177310093</v>
      </c>
      <c r="D44" s="12" t="n">
        <v>0.06546975613112151</v>
      </c>
      <c r="E44" t="n">
        <v>3</v>
      </c>
    </row>
    <row r="45">
      <c r="A45" t="inlineStr">
        <is>
          <t>2013</t>
        </is>
      </c>
      <c r="B45" s="12" t="n">
        <v>0.04043878264146834</v>
      </c>
      <c r="C45" s="12" t="n">
        <v>0.08553733338719592</v>
      </c>
      <c r="D45" s="12" t="n">
        <v>-0.004909239859865445</v>
      </c>
      <c r="E45" t="n">
        <v>3</v>
      </c>
    </row>
    <row r="46">
      <c r="A46" t="inlineStr">
        <is>
          <t>2014</t>
        </is>
      </c>
      <c r="B46" s="12" t="n">
        <v>0.1028286707160941</v>
      </c>
      <c r="C46" s="12" t="n">
        <v>0.2177663609129968</v>
      </c>
      <c r="D46" s="12" t="n">
        <v>0.03158572917517142</v>
      </c>
      <c r="E46" t="n">
        <v>3</v>
      </c>
    </row>
    <row r="47">
      <c r="A47" t="inlineStr">
        <is>
          <t>2015</t>
        </is>
      </c>
      <c r="B47" s="12" t="n">
        <v>0.03241682110135991</v>
      </c>
      <c r="C47" s="12" t="n">
        <v>0.090702620288776</v>
      </c>
      <c r="D47" s="12" t="n">
        <v>-0.0004321584696064473</v>
      </c>
      <c r="E47" t="n">
        <v>3</v>
      </c>
    </row>
    <row r="48">
      <c r="A48" t="inlineStr">
        <is>
          <t>2016</t>
        </is>
      </c>
      <c r="B48" s="12" t="n">
        <v>0.1005136102510031</v>
      </c>
      <c r="C48" s="12" t="n">
        <v>0.1629944680080246</v>
      </c>
      <c r="D48" s="12" t="n">
        <v>0.04945756007158623</v>
      </c>
      <c r="E48" t="n">
        <v>3</v>
      </c>
    </row>
    <row r="49">
      <c r="A49" t="inlineStr">
        <is>
          <t>2017</t>
        </is>
      </c>
      <c r="B49" s="12" t="n">
        <v>0.2061565868762351</v>
      </c>
      <c r="C49" s="12" t="n">
        <v>0.2801913176556683</v>
      </c>
      <c r="D49" s="12" t="n">
        <v>0.139061154724141</v>
      </c>
      <c r="E49" t="n">
        <v>3</v>
      </c>
    </row>
    <row r="50">
      <c r="A50" t="inlineStr">
        <is>
          <t>2018</t>
        </is>
      </c>
      <c r="B50" s="12" t="n">
        <v>0.2931656247972887</v>
      </c>
      <c r="C50" s="12" t="n">
        <v>0.3052743667323679</v>
      </c>
      <c r="D50" s="12" t="n">
        <v>0.2865483606234496</v>
      </c>
      <c r="E50" t="n">
        <v>3</v>
      </c>
    </row>
    <row r="51">
      <c r="A51" t="inlineStr">
        <is>
          <t>2019</t>
        </is>
      </c>
      <c r="B51" s="12" t="n">
        <v>0.1171619067236486</v>
      </c>
      <c r="C51" s="12" t="n">
        <v>0.3231404977370668</v>
      </c>
      <c r="D51" s="12" t="n">
        <v>-0.005555128968871026</v>
      </c>
      <c r="E51" t="n">
        <v>3</v>
      </c>
    </row>
    <row r="52">
      <c r="A52" t="inlineStr">
        <is>
          <t>2020</t>
        </is>
      </c>
      <c r="B52" s="12" t="n">
        <v>0.4569911463147096</v>
      </c>
      <c r="C52" s="12" t="n">
        <v>0.5137882921060425</v>
      </c>
      <c r="D52" s="12" t="n">
        <v>0.4030689337213407</v>
      </c>
      <c r="E52" t="n">
        <v>3</v>
      </c>
    </row>
    <row r="53">
      <c r="A53" t="inlineStr">
        <is>
          <t>2021</t>
        </is>
      </c>
      <c r="B53" s="12" t="n">
        <v>0.1084223241923096</v>
      </c>
      <c r="C53" s="12" t="n">
        <v>0.176180980689268</v>
      </c>
      <c r="D53" s="12" t="n">
        <v>0.07067133462634681</v>
      </c>
      <c r="E53" t="n">
        <v>3</v>
      </c>
    </row>
    <row r="54">
      <c r="A54" t="inlineStr">
        <is>
          <t>2022</t>
        </is>
      </c>
      <c r="B54" s="12" t="n">
        <v>0.2002701798240077</v>
      </c>
      <c r="C54" s="12" t="n">
        <v>0.2350505805011774</v>
      </c>
      <c r="D54" s="12" t="n">
        <v>0.1454677213698</v>
      </c>
      <c r="E54" t="n">
        <v>3</v>
      </c>
    </row>
    <row r="55">
      <c r="A55" t="inlineStr">
        <is>
          <t>2023</t>
        </is>
      </c>
      <c r="B55" s="12" t="n">
        <v>0.09129287104118632</v>
      </c>
      <c r="C55" s="12" t="n">
        <v>0.2214161839744814</v>
      </c>
      <c r="D55" s="12" t="n">
        <v>-0.06718506893728478</v>
      </c>
      <c r="E55" t="n">
        <v>3</v>
      </c>
    </row>
    <row r="56">
      <c r="A56" t="inlineStr">
        <is>
          <t>2024</t>
        </is>
      </c>
      <c r="B56" s="12" t="n">
        <v>0.08242240788313734</v>
      </c>
      <c r="C56" s="12" t="n">
        <v>0.1946221369236249</v>
      </c>
      <c r="D56" s="12" t="n">
        <v>-0.1173222592266387</v>
      </c>
      <c r="E56" t="n">
        <v>3</v>
      </c>
    </row>
    <row r="57">
      <c r="A57" t="inlineStr">
        <is>
          <t>2025</t>
        </is>
      </c>
      <c r="B57" s="12" t="n">
        <v>0.2649139919239483</v>
      </c>
      <c r="C57" s="12" t="n">
        <v>0.372489956329688</v>
      </c>
      <c r="D57" s="12" t="n">
        <v>0.1965311385617317</v>
      </c>
      <c r="E57" t="n">
        <v>3</v>
      </c>
    </row>
    <row r="60">
      <c r="A60" s="4" t="inlineStr">
        <is>
          <t>QUARTER-BY-QUARTER CORRELATION TRENDS</t>
        </is>
      </c>
    </row>
    <row r="61">
      <c r="A61" s="27" t="inlineStr">
        <is>
          <t>Quarter</t>
        </is>
      </c>
      <c r="B61" s="27" t="inlineStr">
        <is>
          <t>Avg Correlation</t>
        </is>
      </c>
      <c r="C61" s="27" t="inlineStr">
        <is>
          <t>Max Correlation</t>
        </is>
      </c>
      <c r="D61" s="27" t="inlineStr">
        <is>
          <t>Min Correlation</t>
        </is>
      </c>
      <c r="E61" s="27" t="inlineStr">
        <is>
          <t>Num Pairs</t>
        </is>
      </c>
    </row>
    <row r="62">
      <c r="A62" t="inlineStr">
        <is>
          <t>2001-Q1</t>
        </is>
      </c>
      <c r="B62" s="12" t="n">
        <v>0.01895252399785457</v>
      </c>
      <c r="C62" s="12" t="n">
        <v>0.01895252399785457</v>
      </c>
      <c r="D62" s="12" t="n">
        <v>0.01895252399785457</v>
      </c>
      <c r="E62" t="n">
        <v>1</v>
      </c>
    </row>
    <row r="63">
      <c r="A63" t="inlineStr">
        <is>
          <t>2001-Q2</t>
        </is>
      </c>
      <c r="B63" s="12" t="n">
        <v>0.0722778152686305</v>
      </c>
      <c r="C63" s="12" t="n">
        <v>0.0722778152686305</v>
      </c>
      <c r="D63" s="12" t="n">
        <v>0.0722778152686305</v>
      </c>
      <c r="E63" t="n">
        <v>1</v>
      </c>
    </row>
    <row r="64">
      <c r="A64" t="inlineStr">
        <is>
          <t>2001-Q3</t>
        </is>
      </c>
      <c r="B64" s="12" t="n">
        <v>-0.09557367581742621</v>
      </c>
      <c r="C64" s="12" t="n">
        <v>-0.09557367581742621</v>
      </c>
      <c r="D64" s="12" t="n">
        <v>-0.09557367581742621</v>
      </c>
      <c r="E64" t="n">
        <v>1</v>
      </c>
    </row>
    <row r="65">
      <c r="A65" t="inlineStr">
        <is>
          <t>2001-Q4</t>
        </is>
      </c>
      <c r="B65" s="12" t="n">
        <v>0.09615144044734047</v>
      </c>
      <c r="C65" s="12" t="n">
        <v>0.2489660474185219</v>
      </c>
      <c r="D65" s="12" t="n">
        <v>0.005777574704626451</v>
      </c>
      <c r="E65" t="n">
        <v>3</v>
      </c>
    </row>
    <row r="66">
      <c r="A66" t="inlineStr">
        <is>
          <t>2002-Q1</t>
        </is>
      </c>
      <c r="B66" s="12" t="n">
        <v>0.2520359179443163</v>
      </c>
      <c r="C66" s="12" t="n">
        <v>0.7412547182495123</v>
      </c>
      <c r="D66" s="12" t="n">
        <v>0.007172118522447369</v>
      </c>
      <c r="E66" t="n">
        <v>3</v>
      </c>
    </row>
    <row r="67">
      <c r="A67" t="inlineStr">
        <is>
          <t>2002-Q2</t>
        </is>
      </c>
      <c r="B67" s="12" t="n">
        <v>-0.04588274951060935</v>
      </c>
      <c r="C67" s="12" t="n">
        <v>0.04523758029134284</v>
      </c>
      <c r="D67" s="12" t="n">
        <v>-0.1765331692017956</v>
      </c>
      <c r="E67" t="n">
        <v>3</v>
      </c>
    </row>
    <row r="68">
      <c r="A68" t="inlineStr">
        <is>
          <t>2002-Q4</t>
        </is>
      </c>
      <c r="B68" s="12" t="n">
        <v>-0.0004733142885346577</v>
      </c>
      <c r="C68" s="12" t="n">
        <v>-0.0004733142885346577</v>
      </c>
      <c r="D68" s="12" t="n">
        <v>-0.0004733142885346577</v>
      </c>
      <c r="E68" t="n">
        <v>1</v>
      </c>
    </row>
    <row r="69">
      <c r="A69" t="inlineStr">
        <is>
          <t>2003-Q1</t>
        </is>
      </c>
      <c r="B69" s="12" t="n">
        <v>0.006017944489436714</v>
      </c>
      <c r="C69" s="12" t="n">
        <v>0.006017944489436714</v>
      </c>
      <c r="D69" s="12" t="n">
        <v>0.006017944489436714</v>
      </c>
      <c r="E69" t="n">
        <v>1</v>
      </c>
    </row>
    <row r="70">
      <c r="A70" t="inlineStr">
        <is>
          <t>2003-Q2</t>
        </is>
      </c>
      <c r="B70" s="12" t="n">
        <v>0.09957760084161719</v>
      </c>
      <c r="C70" s="12" t="n">
        <v>0.09957760084161719</v>
      </c>
      <c r="D70" s="12" t="n">
        <v>0.09957760084161719</v>
      </c>
      <c r="E70" t="n">
        <v>1</v>
      </c>
    </row>
    <row r="71">
      <c r="A71" t="inlineStr">
        <is>
          <t>2003-Q3</t>
        </is>
      </c>
      <c r="B71" s="12" t="n">
        <v>0.1709088619349991</v>
      </c>
      <c r="C71" s="12" t="n">
        <v>0.2509150634510211</v>
      </c>
      <c r="D71" s="12" t="n">
        <v>0.1163356850727155</v>
      </c>
      <c r="E71" t="n">
        <v>3</v>
      </c>
    </row>
    <row r="72">
      <c r="A72" t="inlineStr">
        <is>
          <t>2004-Q1</t>
        </is>
      </c>
      <c r="B72" s="12" t="n">
        <v>0.00315791943188793</v>
      </c>
      <c r="C72" s="12" t="n">
        <v>0.00315791943188793</v>
      </c>
      <c r="D72" s="12" t="n">
        <v>0.00315791943188793</v>
      </c>
      <c r="E72" t="n">
        <v>1</v>
      </c>
    </row>
    <row r="73">
      <c r="A73" t="inlineStr">
        <is>
          <t>2004-Q3</t>
        </is>
      </c>
      <c r="B73" s="12" t="n">
        <v>0.003301542816548509</v>
      </c>
      <c r="C73" s="12" t="n">
        <v>0.003301542816548509</v>
      </c>
      <c r="D73" s="12" t="n">
        <v>0.003301542816548509</v>
      </c>
      <c r="E73" t="n">
        <v>1</v>
      </c>
    </row>
    <row r="74">
      <c r="A74" t="inlineStr">
        <is>
          <t>2005-Q1</t>
        </is>
      </c>
      <c r="B74" s="12" t="n">
        <v>0.004115893816240262</v>
      </c>
      <c r="C74" s="12" t="n">
        <v>0.004115893816240262</v>
      </c>
      <c r="D74" s="12" t="n">
        <v>0.004115893816240262</v>
      </c>
      <c r="E74" t="n">
        <v>1</v>
      </c>
    </row>
    <row r="75">
      <c r="A75" t="inlineStr">
        <is>
          <t>2005-Q2</t>
        </is>
      </c>
      <c r="B75" s="12" t="n">
        <v>-0.001767931007523379</v>
      </c>
      <c r="C75" s="12" t="n">
        <v>-0.001767931007523379</v>
      </c>
      <c r="D75" s="12" t="n">
        <v>-0.001767931007523379</v>
      </c>
      <c r="E75" t="n">
        <v>1</v>
      </c>
    </row>
    <row r="76">
      <c r="A76" t="inlineStr">
        <is>
          <t>2005-Q3</t>
        </is>
      </c>
      <c r="B76" s="12" t="n">
        <v>-0.1645409171980523</v>
      </c>
      <c r="C76" s="12" t="n">
        <v>-0.1645409171980523</v>
      </c>
      <c r="D76" s="12" t="n">
        <v>-0.1645409171980523</v>
      </c>
      <c r="E76" t="n">
        <v>1</v>
      </c>
    </row>
    <row r="77">
      <c r="A77" t="inlineStr">
        <is>
          <t>2005-Q4</t>
        </is>
      </c>
      <c r="B77" s="12" t="n">
        <v>-0.0717836427491144</v>
      </c>
      <c r="C77" s="12" t="n">
        <v>0.06219264107932376</v>
      </c>
      <c r="D77" s="12" t="n">
        <v>-0.288252597044365</v>
      </c>
      <c r="E77" t="n">
        <v>3</v>
      </c>
    </row>
    <row r="78">
      <c r="A78" t="inlineStr">
        <is>
          <t>2006-Q1</t>
        </is>
      </c>
      <c r="B78" s="12" t="n">
        <v>-0.1077133704518373</v>
      </c>
      <c r="C78" s="12" t="n">
        <v>-0.1077133704518373</v>
      </c>
      <c r="D78" s="12" t="n">
        <v>-0.1077133704518373</v>
      </c>
      <c r="E78" t="n">
        <v>1</v>
      </c>
    </row>
    <row r="79">
      <c r="A79" t="inlineStr">
        <is>
          <t>2006-Q2</t>
        </is>
      </c>
      <c r="B79" s="12" t="n">
        <v>0.1758657128968386</v>
      </c>
      <c r="C79" s="12" t="n">
        <v>0.1758657128968386</v>
      </c>
      <c r="D79" s="12" t="n">
        <v>0.1758657128968386</v>
      </c>
      <c r="E79" t="n">
        <v>1</v>
      </c>
    </row>
    <row r="80">
      <c r="A80" t="inlineStr">
        <is>
          <t>2006-Q3</t>
        </is>
      </c>
      <c r="B80" s="12" t="n">
        <v>0.1937341091510351</v>
      </c>
      <c r="C80" s="12" t="n">
        <v>0.4277553076888759</v>
      </c>
      <c r="D80" s="12" t="n">
        <v>0.03082896707487952</v>
      </c>
      <c r="E80" t="n">
        <v>3</v>
      </c>
    </row>
    <row r="81">
      <c r="A81" t="inlineStr">
        <is>
          <t>2006-Q4</t>
        </is>
      </c>
      <c r="B81" s="12" t="n">
        <v>0.04159110294384347</v>
      </c>
      <c r="C81" s="12" t="n">
        <v>0.0817323769535027</v>
      </c>
      <c r="D81" s="12" t="n">
        <v>-0.02016005232766577</v>
      </c>
      <c r="E81" t="n">
        <v>3</v>
      </c>
    </row>
    <row r="82">
      <c r="A82" t="inlineStr">
        <is>
          <t>2007-Q1</t>
        </is>
      </c>
      <c r="B82" s="12" t="n">
        <v>0.1869164260390324</v>
      </c>
      <c r="C82" s="12" t="n">
        <v>0.3380901102441838</v>
      </c>
      <c r="D82" s="12" t="n">
        <v>0.0391734625959191</v>
      </c>
      <c r="E82" t="n">
        <v>3</v>
      </c>
    </row>
    <row r="83">
      <c r="A83" t="inlineStr">
        <is>
          <t>2007-Q2</t>
        </is>
      </c>
      <c r="B83" s="12" t="n">
        <v>-0.02777185600977717</v>
      </c>
      <c r="C83" s="12" t="n">
        <v>-0.02777185600977717</v>
      </c>
      <c r="D83" s="12" t="n">
        <v>-0.02777185600977717</v>
      </c>
      <c r="E83" t="n">
        <v>1</v>
      </c>
    </row>
    <row r="84">
      <c r="A84" t="inlineStr">
        <is>
          <t>2007-Q3</t>
        </is>
      </c>
      <c r="B84" s="12" t="n">
        <v>0.008103638396841759</v>
      </c>
      <c r="C84" s="12" t="n">
        <v>0.1196182053914514</v>
      </c>
      <c r="D84" s="12" t="n">
        <v>-0.1543621326469719</v>
      </c>
      <c r="E84" t="n">
        <v>3</v>
      </c>
    </row>
    <row r="85">
      <c r="A85" t="inlineStr">
        <is>
          <t>2007-Q4</t>
        </is>
      </c>
      <c r="B85" s="12" t="n">
        <v>0.2182590989821487</v>
      </c>
      <c r="C85" s="12" t="n">
        <v>0.3229722119583807</v>
      </c>
      <c r="D85" s="12" t="n">
        <v>0.03523104400070096</v>
      </c>
      <c r="E85" t="n">
        <v>3</v>
      </c>
    </row>
    <row r="86">
      <c r="A86" t="inlineStr">
        <is>
          <t>2008-Q1</t>
        </is>
      </c>
      <c r="B86" s="12" t="n">
        <v>0.2888318166189741</v>
      </c>
      <c r="C86" s="12" t="n">
        <v>0.6264411919743021</v>
      </c>
      <c r="D86" s="12" t="n">
        <v>0.07163602933037891</v>
      </c>
      <c r="E86" t="n">
        <v>3</v>
      </c>
    </row>
    <row r="87">
      <c r="A87" t="inlineStr">
        <is>
          <t>2008-Q2</t>
        </is>
      </c>
      <c r="B87" s="12" t="n">
        <v>0.21978582112916</v>
      </c>
      <c r="C87" s="12" t="n">
        <v>0.5534995873342645</v>
      </c>
      <c r="D87" s="12" t="n">
        <v>0.04754330037598292</v>
      </c>
      <c r="E87" t="n">
        <v>3</v>
      </c>
    </row>
    <row r="88">
      <c r="A88" t="inlineStr">
        <is>
          <t>2008-Q3</t>
        </is>
      </c>
      <c r="B88" s="12" t="n">
        <v>0.08531740616449389</v>
      </c>
      <c r="C88" s="12" t="n">
        <v>0.3092262218793645</v>
      </c>
      <c r="D88" s="12" t="n">
        <v>-0.04706535838744232</v>
      </c>
      <c r="E88" t="n">
        <v>3</v>
      </c>
    </row>
    <row r="89">
      <c r="A89" t="inlineStr">
        <is>
          <t>2009-Q1</t>
        </is>
      </c>
      <c r="B89" s="12" t="n">
        <v>0.4452053041354549</v>
      </c>
      <c r="C89" s="12" t="n">
        <v>0.5476525395862755</v>
      </c>
      <c r="D89" s="12" t="n">
        <v>0.3382584202109984</v>
      </c>
      <c r="E89" t="n">
        <v>3</v>
      </c>
    </row>
    <row r="90">
      <c r="A90" t="inlineStr">
        <is>
          <t>2009-Q2</t>
        </is>
      </c>
      <c r="B90" s="12" t="n">
        <v>0.2307499762327664</v>
      </c>
      <c r="C90" s="12" t="n">
        <v>0.4743561819713137</v>
      </c>
      <c r="D90" s="12" t="n">
        <v>0.02342453966906596</v>
      </c>
      <c r="E90" t="n">
        <v>3</v>
      </c>
    </row>
    <row r="91">
      <c r="A91" t="inlineStr">
        <is>
          <t>2009-Q3</t>
        </is>
      </c>
      <c r="B91" s="12" t="n">
        <v>0.4394576783560022</v>
      </c>
      <c r="C91" s="12" t="n">
        <v>0.5554866877696604</v>
      </c>
      <c r="D91" s="12" t="n">
        <v>0.3562995805911303</v>
      </c>
      <c r="E91" t="n">
        <v>3</v>
      </c>
    </row>
    <row r="92">
      <c r="A92" t="inlineStr">
        <is>
          <t>2009-Q4</t>
        </is>
      </c>
      <c r="B92" s="12" t="n">
        <v>0.3335389499502222</v>
      </c>
      <c r="C92" s="12" t="n">
        <v>0.5152355949086956</v>
      </c>
      <c r="D92" s="12" t="n">
        <v>0.07986264802508986</v>
      </c>
      <c r="E92" t="n">
        <v>3</v>
      </c>
    </row>
    <row r="93">
      <c r="A93" t="inlineStr">
        <is>
          <t>2010-Q1</t>
        </is>
      </c>
      <c r="B93" s="12" t="n">
        <v>0.1306308450713048</v>
      </c>
      <c r="C93" s="12" t="n">
        <v>0.5192972660097966</v>
      </c>
      <c r="D93" s="12" t="n">
        <v>-0.155890824419278</v>
      </c>
      <c r="E93" t="n">
        <v>3</v>
      </c>
    </row>
    <row r="94">
      <c r="A94" t="inlineStr">
        <is>
          <t>2010-Q2</t>
        </is>
      </c>
      <c r="B94" s="12" t="n">
        <v>0.04874364289080742</v>
      </c>
      <c r="C94" s="12" t="n">
        <v>0.1829875468496593</v>
      </c>
      <c r="D94" s="12" t="n">
        <v>-0.03511959883245608</v>
      </c>
      <c r="E94" t="n">
        <v>3</v>
      </c>
    </row>
    <row r="95">
      <c r="A95" t="inlineStr">
        <is>
          <t>2010-Q3</t>
        </is>
      </c>
      <c r="B95" s="12" t="n">
        <v>0.07384119552793765</v>
      </c>
      <c r="C95" s="12" t="n">
        <v>0.1462445494947528</v>
      </c>
      <c r="D95" s="12" t="n">
        <v>0.001113356374096933</v>
      </c>
      <c r="E95" t="n">
        <v>3</v>
      </c>
    </row>
    <row r="96">
      <c r="A96" t="inlineStr">
        <is>
          <t>2010-Q4</t>
        </is>
      </c>
      <c r="B96" s="12" t="n">
        <v>-0.02741843678604465</v>
      </c>
      <c r="C96" s="12" t="n">
        <v>-0.02741843678604465</v>
      </c>
      <c r="D96" s="12" t="n">
        <v>-0.02741843678604465</v>
      </c>
      <c r="E96" t="n">
        <v>1</v>
      </c>
    </row>
    <row r="97">
      <c r="A97" t="inlineStr">
        <is>
          <t>2011-Q1</t>
        </is>
      </c>
      <c r="B97" s="12" t="n">
        <v>0.2118052039861574</v>
      </c>
      <c r="C97" s="12" t="n">
        <v>0.600553890555103</v>
      </c>
      <c r="D97" s="12" t="n">
        <v>-0.04906751540009519</v>
      </c>
      <c r="E97" t="n">
        <v>3</v>
      </c>
    </row>
    <row r="98">
      <c r="A98" t="inlineStr">
        <is>
          <t>2011-Q2</t>
        </is>
      </c>
      <c r="B98" s="12" t="n">
        <v>0.1412130933433445</v>
      </c>
      <c r="C98" s="12" t="n">
        <v>0.4686586476657006</v>
      </c>
      <c r="D98" s="12" t="n">
        <v>-0.0341098670028754</v>
      </c>
      <c r="E98" t="n">
        <v>3</v>
      </c>
    </row>
    <row r="99">
      <c r="A99" t="inlineStr">
        <is>
          <t>2011-Q3</t>
        </is>
      </c>
      <c r="B99" s="12" t="n">
        <v>0.2043260282566782</v>
      </c>
      <c r="C99" s="12" t="n">
        <v>0.3857283735009596</v>
      </c>
      <c r="D99" s="12" t="n">
        <v>0.1133202363766569</v>
      </c>
      <c r="E99" t="n">
        <v>3</v>
      </c>
    </row>
    <row r="100">
      <c r="A100" t="inlineStr">
        <is>
          <t>2011-Q4</t>
        </is>
      </c>
      <c r="B100" s="12" t="n">
        <v>0.1019324369052723</v>
      </c>
      <c r="C100" s="12" t="n">
        <v>0.1019324369052723</v>
      </c>
      <c r="D100" s="12" t="n">
        <v>0.1019324369052723</v>
      </c>
      <c r="E100" t="n">
        <v>1</v>
      </c>
    </row>
    <row r="101">
      <c r="A101" t="inlineStr">
        <is>
          <t>2012-Q1</t>
        </is>
      </c>
      <c r="B101" s="12" t="n">
        <v>0.2972697919429739</v>
      </c>
      <c r="C101" s="12" t="n">
        <v>0.2972697919429739</v>
      </c>
      <c r="D101" s="12" t="n">
        <v>0.2972697919429739</v>
      </c>
      <c r="E101" t="n">
        <v>1</v>
      </c>
    </row>
    <row r="102">
      <c r="A102" t="inlineStr">
        <is>
          <t>2012-Q3</t>
        </is>
      </c>
      <c r="B102" s="12" t="n">
        <v>0.2142196616753368</v>
      </c>
      <c r="C102" s="12" t="n">
        <v>0.3976840956863205</v>
      </c>
      <c r="D102" s="12" t="n">
        <v>0.1112179162573029</v>
      </c>
      <c r="E102" t="n">
        <v>3</v>
      </c>
    </row>
    <row r="103">
      <c r="A103" t="inlineStr">
        <is>
          <t>2012-Q4</t>
        </is>
      </c>
      <c r="B103" s="12" t="n">
        <v>-0.1119927646926592</v>
      </c>
      <c r="C103" s="12" t="n">
        <v>-0.1119927646926592</v>
      </c>
      <c r="D103" s="12" t="n">
        <v>-0.1119927646926592</v>
      </c>
      <c r="E103" t="n">
        <v>1</v>
      </c>
    </row>
    <row r="104">
      <c r="A104" t="inlineStr">
        <is>
          <t>2013-Q1</t>
        </is>
      </c>
      <c r="B104" s="12" t="n">
        <v>0.00986719515077341</v>
      </c>
      <c r="C104" s="12" t="n">
        <v>0.00986719515077341</v>
      </c>
      <c r="D104" s="12" t="n">
        <v>0.00986719515077341</v>
      </c>
      <c r="E104" t="n">
        <v>1</v>
      </c>
    </row>
    <row r="105">
      <c r="A105" t="inlineStr">
        <is>
          <t>2013-Q2</t>
        </is>
      </c>
      <c r="B105" s="12" t="n">
        <v>-0.01781798699981825</v>
      </c>
      <c r="C105" s="12" t="n">
        <v>-0.01781798699981825</v>
      </c>
      <c r="D105" s="12" t="n">
        <v>-0.01781798699981825</v>
      </c>
      <c r="E105" t="n">
        <v>1</v>
      </c>
    </row>
    <row r="106">
      <c r="A106" t="inlineStr">
        <is>
          <t>2013-Q3</t>
        </is>
      </c>
      <c r="B106" s="12" t="n">
        <v>0.1068130013733097</v>
      </c>
      <c r="C106" s="12" t="n">
        <v>0.2657907844590306</v>
      </c>
      <c r="D106" s="12" t="n">
        <v>-0.03388226131244954</v>
      </c>
      <c r="E106" t="n">
        <v>3</v>
      </c>
    </row>
    <row r="107">
      <c r="A107" t="inlineStr">
        <is>
          <t>2013-Q4</t>
        </is>
      </c>
      <c r="B107" s="12" t="n">
        <v>0.02528697193167682</v>
      </c>
      <c r="C107" s="12" t="n">
        <v>0.1522267227310337</v>
      </c>
      <c r="D107" s="12" t="n">
        <v>-0.1884075780755875</v>
      </c>
      <c r="E107" t="n">
        <v>3</v>
      </c>
    </row>
    <row r="108">
      <c r="A108" t="inlineStr">
        <is>
          <t>2014-Q1</t>
        </is>
      </c>
      <c r="B108" s="12" t="n">
        <v>0.199317712969012</v>
      </c>
      <c r="C108" s="12" t="n">
        <v>0.3090940389068742</v>
      </c>
      <c r="D108" s="12" t="n">
        <v>0.1165885997819239</v>
      </c>
      <c r="E108" t="n">
        <v>3</v>
      </c>
    </row>
    <row r="109">
      <c r="A109" t="inlineStr">
        <is>
          <t>2014-Q2</t>
        </is>
      </c>
      <c r="B109" s="12" t="n">
        <v>0.02992863855854755</v>
      </c>
      <c r="C109" s="12" t="n">
        <v>0.1575783510566226</v>
      </c>
      <c r="D109" s="12" t="n">
        <v>-0.04602993037903864</v>
      </c>
      <c r="E109" t="n">
        <v>3</v>
      </c>
    </row>
    <row r="110">
      <c r="A110" t="inlineStr">
        <is>
          <t>2014-Q3</t>
        </is>
      </c>
      <c r="B110" s="12" t="n">
        <v>0.03723401092100255</v>
      </c>
      <c r="C110" s="12" t="n">
        <v>0.3014179547239807</v>
      </c>
      <c r="D110" s="12" t="n">
        <v>-0.1751401736865504</v>
      </c>
      <c r="E110" t="n">
        <v>3</v>
      </c>
    </row>
    <row r="111">
      <c r="A111" t="inlineStr">
        <is>
          <t>2014-Q4</t>
        </is>
      </c>
      <c r="B111" s="12" t="n">
        <v>0.3151471024397251</v>
      </c>
      <c r="C111" s="12" t="n">
        <v>0.3151471024397251</v>
      </c>
      <c r="D111" s="12" t="n">
        <v>0.3151471024397251</v>
      </c>
      <c r="E111" t="n">
        <v>1</v>
      </c>
    </row>
    <row r="112">
      <c r="A112" t="inlineStr">
        <is>
          <t>2015-Q1</t>
        </is>
      </c>
      <c r="B112" s="12" t="n">
        <v>0.02453130249610501</v>
      </c>
      <c r="C112" s="12" t="n">
        <v>0.02453130249610501</v>
      </c>
      <c r="D112" s="12" t="n">
        <v>0.02453130249610501</v>
      </c>
      <c r="E112" t="n">
        <v>1</v>
      </c>
    </row>
    <row r="113">
      <c r="A113" t="inlineStr">
        <is>
          <t>2015-Q2</t>
        </is>
      </c>
      <c r="B113" s="12" t="n">
        <v>0.2474801669181581</v>
      </c>
      <c r="C113" s="12" t="n">
        <v>0.2474801669181581</v>
      </c>
      <c r="D113" s="12" t="n">
        <v>0.2474801669181581</v>
      </c>
      <c r="E113" t="n">
        <v>1</v>
      </c>
    </row>
    <row r="114">
      <c r="A114" t="inlineStr">
        <is>
          <t>2015-Q3</t>
        </is>
      </c>
      <c r="B114" s="12" t="n">
        <v>-0.02014167522226648</v>
      </c>
      <c r="C114" s="12" t="n">
        <v>-0.02014167522226648</v>
      </c>
      <c r="D114" s="12" t="n">
        <v>-0.02014167522226648</v>
      </c>
      <c r="E114" t="n">
        <v>1</v>
      </c>
    </row>
    <row r="115">
      <c r="A115" t="inlineStr">
        <is>
          <t>2015-Q4</t>
        </is>
      </c>
      <c r="B115" s="12" t="n">
        <v>0.0855042792830185</v>
      </c>
      <c r="C115" s="12" t="n">
        <v>0.0855042792830185</v>
      </c>
      <c r="D115" s="12" t="n">
        <v>0.0855042792830185</v>
      </c>
      <c r="E115" t="n">
        <v>1</v>
      </c>
    </row>
    <row r="116">
      <c r="A116" t="inlineStr">
        <is>
          <t>2016-Q1</t>
        </is>
      </c>
      <c r="B116" s="12" t="n">
        <v>0.02022902492590375</v>
      </c>
      <c r="C116" s="12" t="n">
        <v>0.02022902492590375</v>
      </c>
      <c r="D116" s="12" t="n">
        <v>0.02022902492590375</v>
      </c>
      <c r="E116" t="n">
        <v>1</v>
      </c>
    </row>
    <row r="117">
      <c r="A117" t="inlineStr">
        <is>
          <t>2016-Q2</t>
        </is>
      </c>
      <c r="B117" s="12" t="n">
        <v>0.1914645867409727</v>
      </c>
      <c r="C117" s="12" t="n">
        <v>0.1914645867409727</v>
      </c>
      <c r="D117" s="12" t="n">
        <v>0.1914645867409727</v>
      </c>
      <c r="E117" t="n">
        <v>1</v>
      </c>
    </row>
    <row r="118">
      <c r="A118" t="inlineStr">
        <is>
          <t>2016-Q3</t>
        </is>
      </c>
      <c r="B118" s="12" t="n">
        <v>0.1456600507959399</v>
      </c>
      <c r="C118" s="12" t="n">
        <v>0.3229524169193465</v>
      </c>
      <c r="D118" s="12" t="n">
        <v>-0.004907097766801834</v>
      </c>
      <c r="E118" t="n">
        <v>3</v>
      </c>
    </row>
    <row r="119">
      <c r="A119" t="inlineStr">
        <is>
          <t>2016-Q4</t>
        </is>
      </c>
      <c r="B119" s="12" t="n">
        <v>0.1036662199712867</v>
      </c>
      <c r="C119" s="12" t="n">
        <v>0.2170190207474791</v>
      </c>
      <c r="D119" s="12" t="n">
        <v>0.02812457080957032</v>
      </c>
      <c r="E119" t="n">
        <v>3</v>
      </c>
    </row>
    <row r="120">
      <c r="A120" t="inlineStr">
        <is>
          <t>2017-Q1</t>
        </is>
      </c>
      <c r="B120" s="12" t="n">
        <v>0.5059710062652333</v>
      </c>
      <c r="C120" s="12" t="n">
        <v>0.5670416861236713</v>
      </c>
      <c r="D120" s="12" t="n">
        <v>0.4753313800936401</v>
      </c>
      <c r="E120" t="n">
        <v>3</v>
      </c>
    </row>
    <row r="121">
      <c r="A121" t="inlineStr">
        <is>
          <t>2017-Q2</t>
        </is>
      </c>
      <c r="B121" s="12" t="n">
        <v>0.2659285299069376</v>
      </c>
      <c r="C121" s="12" t="n">
        <v>0.4319039182259402</v>
      </c>
      <c r="D121" s="12" t="n">
        <v>0.1460614114328188</v>
      </c>
      <c r="E121" t="n">
        <v>3</v>
      </c>
    </row>
    <row r="122">
      <c r="A122" t="inlineStr">
        <is>
          <t>2017-Q3</t>
        </is>
      </c>
      <c r="B122" s="12" t="n">
        <v>0.05035518580518747</v>
      </c>
      <c r="C122" s="12" t="n">
        <v>0.1580610277862001</v>
      </c>
      <c r="D122" s="12" t="n">
        <v>-0.1463832264417944</v>
      </c>
      <c r="E122" t="n">
        <v>3</v>
      </c>
    </row>
    <row r="123">
      <c r="A123" t="inlineStr">
        <is>
          <t>2017-Q4</t>
        </is>
      </c>
      <c r="B123" s="12" t="n">
        <v>0.02262877389528675</v>
      </c>
      <c r="C123" s="12" t="n">
        <v>0.07377517272793918</v>
      </c>
      <c r="D123" s="12" t="n">
        <v>-0.03838422812448068</v>
      </c>
      <c r="E123" t="n">
        <v>3</v>
      </c>
    </row>
    <row r="124">
      <c r="A124" t="inlineStr">
        <is>
          <t>2018-Q1</t>
        </is>
      </c>
      <c r="B124" s="12" t="n">
        <v>0.5786607289501386</v>
      </c>
      <c r="C124" s="12" t="n">
        <v>0.7150463057530937</v>
      </c>
      <c r="D124" s="12" t="n">
        <v>0.4354904532217319</v>
      </c>
      <c r="E124" t="n">
        <v>3</v>
      </c>
    </row>
    <row r="125">
      <c r="A125" t="inlineStr">
        <is>
          <t>2018-Q2</t>
        </is>
      </c>
      <c r="B125" s="12" t="n">
        <v>-0.006735358522477863</v>
      </c>
      <c r="C125" s="12" t="n">
        <v>0.1145004918212193</v>
      </c>
      <c r="D125" s="12" t="n">
        <v>-0.2098325143858579</v>
      </c>
      <c r="E125" t="n">
        <v>3</v>
      </c>
    </row>
    <row r="126">
      <c r="A126" t="inlineStr">
        <is>
          <t>2018-Q3</t>
        </is>
      </c>
      <c r="B126" s="12" t="n">
        <v>-0.03486166399283479</v>
      </c>
      <c r="C126" s="12" t="n">
        <v>-0.03486166399283479</v>
      </c>
      <c r="D126" s="12" t="n">
        <v>-0.03486166399283479</v>
      </c>
      <c r="E126" t="n">
        <v>1</v>
      </c>
    </row>
    <row r="127">
      <c r="A127" t="inlineStr">
        <is>
          <t>2018-Q4</t>
        </is>
      </c>
      <c r="B127" s="12" t="n">
        <v>0.03500553927803862</v>
      </c>
      <c r="C127" s="12" t="n">
        <v>0.12280940819521</v>
      </c>
      <c r="D127" s="12" t="n">
        <v>-0.0136038754227293</v>
      </c>
      <c r="E127" t="n">
        <v>3</v>
      </c>
    </row>
    <row r="128">
      <c r="A128" t="inlineStr">
        <is>
          <t>2019-Q1</t>
        </is>
      </c>
      <c r="B128" s="12" t="n">
        <v>0.04493786692113439</v>
      </c>
      <c r="C128" s="12" t="n">
        <v>0.04493786692113439</v>
      </c>
      <c r="D128" s="12" t="n">
        <v>0.04493786692113439</v>
      </c>
      <c r="E128" t="n">
        <v>1</v>
      </c>
    </row>
    <row r="129">
      <c r="A129" t="inlineStr">
        <is>
          <t>2019-Q2</t>
        </is>
      </c>
      <c r="B129" s="12" t="n">
        <v>0.1944565115495974</v>
      </c>
      <c r="C129" s="12" t="n">
        <v>0.453523097089108</v>
      </c>
      <c r="D129" s="12" t="n">
        <v>-0.02998916192521953</v>
      </c>
      <c r="E129" t="n">
        <v>3</v>
      </c>
    </row>
    <row r="130">
      <c r="A130" t="inlineStr">
        <is>
          <t>2019-Q3</t>
        </is>
      </c>
      <c r="B130" s="12" t="n">
        <v>0.0141039772248034</v>
      </c>
      <c r="C130" s="12" t="n">
        <v>0.1496235567727803</v>
      </c>
      <c r="D130" s="12" t="n">
        <v>-0.2312283848441966</v>
      </c>
      <c r="E130" t="n">
        <v>3</v>
      </c>
    </row>
    <row r="131">
      <c r="A131" t="inlineStr">
        <is>
          <t>2019-Q4</t>
        </is>
      </c>
      <c r="B131" s="12" t="n">
        <v>0.1517666834846385</v>
      </c>
      <c r="C131" s="12" t="n">
        <v>0.4443638369803946</v>
      </c>
      <c r="D131" s="12" t="n">
        <v>-0.0538867118871495</v>
      </c>
      <c r="E131" t="n">
        <v>3</v>
      </c>
    </row>
    <row r="132">
      <c r="A132" t="inlineStr">
        <is>
          <t>2020-Q1</t>
        </is>
      </c>
      <c r="B132" s="12" t="n">
        <v>0.7546270468188822</v>
      </c>
      <c r="C132" s="12" t="n">
        <v>0.8815542559230395</v>
      </c>
      <c r="D132" s="12" t="n">
        <v>0.6777304857555343</v>
      </c>
      <c r="E132" t="n">
        <v>3</v>
      </c>
    </row>
    <row r="133">
      <c r="A133" t="inlineStr">
        <is>
          <t>2020-Q2</t>
        </is>
      </c>
      <c r="B133" s="12" t="n">
        <v>0.148167467446367</v>
      </c>
      <c r="C133" s="12" t="n">
        <v>0.2746008620252701</v>
      </c>
      <c r="D133" s="12" t="n">
        <v>0.0003572203605810282</v>
      </c>
      <c r="E133" t="n">
        <v>3</v>
      </c>
    </row>
    <row r="134">
      <c r="A134" t="inlineStr">
        <is>
          <t>2020-Q3</t>
        </is>
      </c>
      <c r="B134" s="12" t="n">
        <v>-0.005527728540467239</v>
      </c>
      <c r="C134" s="12" t="n">
        <v>-0.005527728540467239</v>
      </c>
      <c r="D134" s="12" t="n">
        <v>-0.005527728540467239</v>
      </c>
      <c r="E134" t="n">
        <v>1</v>
      </c>
    </row>
    <row r="135">
      <c r="A135" t="inlineStr">
        <is>
          <t>2020-Q4</t>
        </is>
      </c>
      <c r="B135" s="12" t="n">
        <v>0.07218121369939684</v>
      </c>
      <c r="C135" s="12" t="n">
        <v>0.1588147885126192</v>
      </c>
      <c r="D135" s="12" t="n">
        <v>-0.09243072323448696</v>
      </c>
      <c r="E135" t="n">
        <v>3</v>
      </c>
    </row>
    <row r="136">
      <c r="A136" t="inlineStr">
        <is>
          <t>2021-Q1</t>
        </is>
      </c>
      <c r="B136" s="12" t="n">
        <v>0.1472057630136652</v>
      </c>
      <c r="C136" s="12" t="n">
        <v>0.2782508129701372</v>
      </c>
      <c r="D136" s="12" t="n">
        <v>0.007447924077847368</v>
      </c>
      <c r="E136" t="n">
        <v>3</v>
      </c>
    </row>
    <row r="137">
      <c r="A137" t="inlineStr">
        <is>
          <t>2021-Q2</t>
        </is>
      </c>
      <c r="B137" s="12" t="n">
        <v>0.1312209360362324</v>
      </c>
      <c r="C137" s="12" t="n">
        <v>0.2564507422561134</v>
      </c>
      <c r="D137" s="12" t="n">
        <v>0.03434109241764393</v>
      </c>
      <c r="E137" t="n">
        <v>3</v>
      </c>
    </row>
    <row r="138">
      <c r="A138" t="inlineStr">
        <is>
          <t>2021-Q3</t>
        </is>
      </c>
      <c r="B138" s="12" t="n">
        <v>0.2756457665761786</v>
      </c>
      <c r="C138" s="12" t="n">
        <v>0.2756457665761786</v>
      </c>
      <c r="D138" s="12" t="n">
        <v>0.2756457665761786</v>
      </c>
      <c r="E138" t="n">
        <v>1</v>
      </c>
    </row>
    <row r="139">
      <c r="A139" t="inlineStr">
        <is>
          <t>2021-Q4</t>
        </is>
      </c>
      <c r="B139" s="12" t="n">
        <v>0.06796245078046924</v>
      </c>
      <c r="C139" s="12" t="n">
        <v>0.1670110695844879</v>
      </c>
      <c r="D139" s="12" t="n">
        <v>-0.01229433215685361</v>
      </c>
      <c r="E139" t="n">
        <v>3</v>
      </c>
    </row>
    <row r="140">
      <c r="A140" t="inlineStr">
        <is>
          <t>2022-Q1</t>
        </is>
      </c>
      <c r="B140" s="12" t="n">
        <v>0.2302068971519237</v>
      </c>
      <c r="C140" s="12" t="n">
        <v>0.3705199562798894</v>
      </c>
      <c r="D140" s="12" t="n">
        <v>0.09409830913926215</v>
      </c>
      <c r="E140" t="n">
        <v>3</v>
      </c>
    </row>
    <row r="141">
      <c r="A141" t="inlineStr">
        <is>
          <t>2022-Q2</t>
        </is>
      </c>
      <c r="B141" s="12" t="n">
        <v>0.2687502545768352</v>
      </c>
      <c r="C141" s="12" t="n">
        <v>0.3863500533163606</v>
      </c>
      <c r="D141" s="12" t="n">
        <v>0.0693103618731354</v>
      </c>
      <c r="E141" t="n">
        <v>3</v>
      </c>
    </row>
    <row r="142">
      <c r="A142" t="inlineStr">
        <is>
          <t>2022-Q3</t>
        </is>
      </c>
      <c r="B142" s="12" t="n">
        <v>0.3733290606629513</v>
      </c>
      <c r="C142" s="12" t="n">
        <v>0.7696937052059306</v>
      </c>
      <c r="D142" s="12" t="n">
        <v>0.1669280972715267</v>
      </c>
      <c r="E142" t="n">
        <v>3</v>
      </c>
    </row>
    <row r="143">
      <c r="A143" t="inlineStr">
        <is>
          <t>2022-Q4</t>
        </is>
      </c>
      <c r="B143" s="12" t="n">
        <v>0.07134092432577775</v>
      </c>
      <c r="C143" s="12" t="n">
        <v>0.2002033627313363</v>
      </c>
      <c r="D143" s="12" t="n">
        <v>-0.03443489096258574</v>
      </c>
      <c r="E143" t="n">
        <v>3</v>
      </c>
    </row>
    <row r="144">
      <c r="A144" t="inlineStr">
        <is>
          <t>2023-Q1</t>
        </is>
      </c>
      <c r="B144" s="12" t="n">
        <v>0.08144463115736644</v>
      </c>
      <c r="C144" s="12" t="n">
        <v>0.1448722313195814</v>
      </c>
      <c r="D144" s="12" t="n">
        <v>-0.03984179322017736</v>
      </c>
      <c r="E144" t="n">
        <v>3</v>
      </c>
    </row>
    <row r="145">
      <c r="A145" t="inlineStr">
        <is>
          <t>2023-Q2</t>
        </is>
      </c>
      <c r="B145" s="12" t="n">
        <v>0.04133029923859745</v>
      </c>
      <c r="C145" s="12" t="n">
        <v>0.286313223388376</v>
      </c>
      <c r="D145" s="12" t="n">
        <v>-0.1559347791137354</v>
      </c>
      <c r="E145" t="n">
        <v>3</v>
      </c>
    </row>
    <row r="146">
      <c r="A146" t="inlineStr">
        <is>
          <t>2023-Q3</t>
        </is>
      </c>
      <c r="B146" s="12" t="n">
        <v>0.04747490299016637</v>
      </c>
      <c r="C146" s="12" t="n">
        <v>0.1844392849776251</v>
      </c>
      <c r="D146" s="12" t="n">
        <v>-0.1119377524864416</v>
      </c>
      <c r="E146" t="n">
        <v>3</v>
      </c>
    </row>
    <row r="147">
      <c r="A147" t="inlineStr">
        <is>
          <t>2023-Q4</t>
        </is>
      </c>
      <c r="B147" s="12" t="n">
        <v>0.2059839745612601</v>
      </c>
      <c r="C147" s="12" t="n">
        <v>0.4246046799647429</v>
      </c>
      <c r="D147" s="12" t="n">
        <v>-0.002661351345831736</v>
      </c>
      <c r="E147" t="n">
        <v>3</v>
      </c>
    </row>
    <row r="148">
      <c r="A148" t="inlineStr">
        <is>
          <t>2024-Q1</t>
        </is>
      </c>
      <c r="B148" s="12" t="n">
        <v>0.1329658768347355</v>
      </c>
      <c r="C148" s="12" t="n">
        <v>0.2548766467454872</v>
      </c>
      <c r="D148" s="12" t="n">
        <v>-0.01739229790160347</v>
      </c>
      <c r="E148" t="n">
        <v>3</v>
      </c>
    </row>
    <row r="149">
      <c r="A149" t="inlineStr">
        <is>
          <t>2024-Q2</t>
        </is>
      </c>
      <c r="B149" s="12" t="n">
        <v>-0.04805291561084582</v>
      </c>
      <c r="C149" s="12" t="n">
        <v>0.08179267584361831</v>
      </c>
      <c r="D149" s="12" t="n">
        <v>-0.2229893423943071</v>
      </c>
      <c r="E149" t="n">
        <v>3</v>
      </c>
    </row>
    <row r="150">
      <c r="A150" t="inlineStr">
        <is>
          <t>2024-Q3</t>
        </is>
      </c>
      <c r="B150" s="12" t="n">
        <v>0.1872570208685451</v>
      </c>
      <c r="C150" s="12" t="n">
        <v>0.2847886433160995</v>
      </c>
      <c r="D150" s="12" t="n">
        <v>0.01261615752624989</v>
      </c>
      <c r="E150" t="n">
        <v>3</v>
      </c>
    </row>
    <row r="151">
      <c r="A151" t="inlineStr">
        <is>
          <t>2024-Q4</t>
        </is>
      </c>
      <c r="B151" s="12" t="n">
        <v>0.1212532292306567</v>
      </c>
      <c r="C151" s="12" t="n">
        <v>0.4104888929807237</v>
      </c>
      <c r="D151" s="12" t="n">
        <v>-0.1964371691933503</v>
      </c>
      <c r="E151" t="n">
        <v>3</v>
      </c>
    </row>
    <row r="152">
      <c r="A152" t="inlineStr">
        <is>
          <t>2025-Q1</t>
        </is>
      </c>
      <c r="B152" s="12" t="n">
        <v>0.4763417182029195</v>
      </c>
      <c r="C152" s="12" t="n">
        <v>0.6209555570822497</v>
      </c>
      <c r="D152" s="12" t="n">
        <v>0.3228529512391511</v>
      </c>
      <c r="E152" t="n">
        <v>3</v>
      </c>
    </row>
    <row r="153">
      <c r="A153" t="inlineStr">
        <is>
          <t>2025-Q2</t>
        </is>
      </c>
      <c r="B153" s="12" t="n">
        <v>0.2353312699975698</v>
      </c>
      <c r="C153" s="12" t="n">
        <v>0.2353312699975698</v>
      </c>
      <c r="D153" s="12" t="n">
        <v>0.2353312699975698</v>
      </c>
      <c r="E153" t="n">
        <v>1</v>
      </c>
    </row>
    <row r="154">
      <c r="A154" t="inlineStr">
        <is>
          <t>2025-Q3</t>
        </is>
      </c>
      <c r="B154" s="12" t="n">
        <v>0.1397691502960239</v>
      </c>
      <c r="C154" s="12" t="n">
        <v>0.3225560798000646</v>
      </c>
      <c r="D154" s="12" t="n">
        <v>0.03073431331149622</v>
      </c>
      <c r="E154" t="n">
        <v>3</v>
      </c>
    </row>
    <row r="155">
      <c r="A155" t="inlineStr">
        <is>
          <t>2025-Q4</t>
        </is>
      </c>
      <c r="B155" s="12" t="n">
        <v>-0.05973232648015475</v>
      </c>
      <c r="C155" s="12" t="n">
        <v>0.2145044255377243</v>
      </c>
      <c r="D155" s="12" t="n">
        <v>-0.3030291885695555</v>
      </c>
      <c r="E155" t="n">
        <v>3</v>
      </c>
    </row>
    <row r="158">
      <c r="A158" s="4" t="inlineStr">
        <is>
          <t>PERIOD PERFORMANCE HIGHLIGHTS</t>
        </is>
      </c>
    </row>
    <row r="159">
      <c r="A159" s="26" t="inlineStr">
        <is>
          <t>Identifying periods where the strategy performed well/poorly across the batch</t>
        </is>
      </c>
    </row>
    <row r="160">
      <c r="A160" s="27" t="inlineStr">
        <is>
          <t>Period</t>
        </is>
      </c>
      <c r="B160" s="27" t="inlineStr">
        <is>
          <t>Avg Return %</t>
        </is>
      </c>
      <c r="C160" s="27" t="inlineStr">
        <is>
          <t>Avg Max DD %</t>
        </is>
      </c>
      <c r="D160" s="27" t="inlineStr">
        <is>
          <t># Profitable</t>
        </is>
      </c>
      <c r="E160" s="27" t="inlineStr">
        <is>
          <t>% Profitable</t>
        </is>
      </c>
      <c r="F160" s="27" t="inlineStr">
        <is>
          <t>Rating</t>
        </is>
      </c>
    </row>
    <row r="161">
      <c r="A161" t="inlineStr">
        <is>
          <t>2001</t>
        </is>
      </c>
      <c r="B161" s="28" t="n">
        <v>-2.002049769571294</v>
      </c>
      <c r="C161" s="6" t="n">
        <v>5.103524019084198</v>
      </c>
      <c r="D161" t="inlineStr">
        <is>
          <t>0/3</t>
        </is>
      </c>
      <c r="E161" s="9" t="n">
        <v>0</v>
      </c>
      <c r="F161" s="29" t="inlineStr">
        <is>
          <t>✗ Weak Performance</t>
        </is>
      </c>
    </row>
    <row r="162">
      <c r="A162" t="inlineStr">
        <is>
          <t>2002</t>
        </is>
      </c>
      <c r="B162" s="28" t="n">
        <v>-2.443768869619515</v>
      </c>
      <c r="C162" s="6" t="n">
        <v>6.632880084984841</v>
      </c>
      <c r="D162" t="inlineStr">
        <is>
          <t>1/3</t>
        </is>
      </c>
      <c r="E162" s="9" t="n">
        <v>33.33333333333333</v>
      </c>
      <c r="F162" s="30" t="inlineStr">
        <is>
          <t>◐ Mixed Performance</t>
        </is>
      </c>
    </row>
    <row r="163">
      <c r="A163" t="inlineStr">
        <is>
          <t>2003</t>
        </is>
      </c>
      <c r="B163" s="11" t="n">
        <v>4.364510916687544</v>
      </c>
      <c r="C163" s="6" t="n">
        <v>9.338255447494706</v>
      </c>
      <c r="D163" t="inlineStr">
        <is>
          <t>3/3</t>
        </is>
      </c>
      <c r="E163" s="9" t="n">
        <v>100</v>
      </c>
      <c r="F163" s="31" t="inlineStr">
        <is>
          <t>✓ Strong Performance</t>
        </is>
      </c>
    </row>
    <row r="164">
      <c r="A164" t="inlineStr">
        <is>
          <t>2004</t>
        </is>
      </c>
      <c r="B164" s="28" t="n">
        <v>-1.002785272460797</v>
      </c>
      <c r="C164" s="6" t="n">
        <v>10.19276630605469</v>
      </c>
      <c r="D164" t="inlineStr">
        <is>
          <t>1/3</t>
        </is>
      </c>
      <c r="E164" s="9" t="n">
        <v>33.33333333333333</v>
      </c>
      <c r="F164" s="30" t="inlineStr">
        <is>
          <t>◐ Mixed Performance</t>
        </is>
      </c>
    </row>
    <row r="165">
      <c r="A165" t="inlineStr">
        <is>
          <t>2005</t>
        </is>
      </c>
      <c r="B165" s="11" t="n">
        <v>8.113943236690274</v>
      </c>
      <c r="C165" s="6" t="n">
        <v>9.748785888772327</v>
      </c>
      <c r="D165" t="inlineStr">
        <is>
          <t>2/3</t>
        </is>
      </c>
      <c r="E165" s="9" t="n">
        <v>66.66666666666666</v>
      </c>
      <c r="F165" s="30" t="inlineStr">
        <is>
          <t>◐ Mixed Performance</t>
        </is>
      </c>
    </row>
    <row r="166">
      <c r="A166" t="inlineStr">
        <is>
          <t>2006</t>
        </is>
      </c>
      <c r="B166" s="11" t="n">
        <v>1.972144044717138</v>
      </c>
      <c r="C166" s="6" t="n">
        <v>9.375336769022161</v>
      </c>
      <c r="D166" t="inlineStr">
        <is>
          <t>3/3</t>
        </is>
      </c>
      <c r="E166" s="9" t="n">
        <v>100</v>
      </c>
      <c r="F166" s="31" t="inlineStr">
        <is>
          <t>✓ Strong Performance</t>
        </is>
      </c>
    </row>
    <row r="167">
      <c r="A167" t="inlineStr">
        <is>
          <t>2007</t>
        </is>
      </c>
      <c r="B167" s="11" t="n">
        <v>6.57846987150473</v>
      </c>
      <c r="C167" s="6" t="n">
        <v>7.194522777796285</v>
      </c>
      <c r="D167" t="inlineStr">
        <is>
          <t>2/3</t>
        </is>
      </c>
      <c r="E167" s="9" t="n">
        <v>66.66666666666666</v>
      </c>
      <c r="F167" s="30" t="inlineStr">
        <is>
          <t>◐ Mixed Performance</t>
        </is>
      </c>
    </row>
    <row r="168">
      <c r="A168" t="inlineStr">
        <is>
          <t>2008</t>
        </is>
      </c>
      <c r="B168" s="28" t="n">
        <v>-2.614617320993676</v>
      </c>
      <c r="C168" s="6" t="n">
        <v>5.638858615037491</v>
      </c>
      <c r="D168" t="inlineStr">
        <is>
          <t>1/3</t>
        </is>
      </c>
      <c r="E168" s="9" t="n">
        <v>33.33333333333333</v>
      </c>
      <c r="F168" s="30" t="inlineStr">
        <is>
          <t>◐ Mixed Performance</t>
        </is>
      </c>
    </row>
    <row r="169">
      <c r="A169" t="inlineStr">
        <is>
          <t>2009</t>
        </is>
      </c>
      <c r="B169" s="11" t="n">
        <v>16.40490920776599</v>
      </c>
      <c r="C169" s="6" t="n">
        <v>4.645201616785812</v>
      </c>
      <c r="D169" t="inlineStr">
        <is>
          <t>3/3</t>
        </is>
      </c>
      <c r="E169" s="9" t="n">
        <v>100</v>
      </c>
      <c r="F169" s="31" t="inlineStr">
        <is>
          <t>✓ Strong Performance</t>
        </is>
      </c>
    </row>
    <row r="170">
      <c r="A170" t="inlineStr">
        <is>
          <t>2010</t>
        </is>
      </c>
      <c r="B170" s="11" t="n">
        <v>4.578801929775293</v>
      </c>
      <c r="C170" s="6" t="n">
        <v>4.263355216450668</v>
      </c>
      <c r="D170" t="inlineStr">
        <is>
          <t>2/3</t>
        </is>
      </c>
      <c r="E170" s="9" t="n">
        <v>66.66666666666666</v>
      </c>
      <c r="F170" s="30" t="inlineStr">
        <is>
          <t>◐ Mixed Performance</t>
        </is>
      </c>
    </row>
    <row r="171">
      <c r="A171" t="inlineStr">
        <is>
          <t>2011</t>
        </is>
      </c>
      <c r="B171" s="28" t="n">
        <v>-5.01071245397308</v>
      </c>
      <c r="C171" s="6" t="n">
        <v>5.895572625038959</v>
      </c>
      <c r="D171" t="inlineStr">
        <is>
          <t>0/3</t>
        </is>
      </c>
      <c r="E171" s="9" t="n">
        <v>0</v>
      </c>
      <c r="F171" s="29" t="inlineStr">
        <is>
          <t>✗ Weak Performance</t>
        </is>
      </c>
    </row>
    <row r="172">
      <c r="A172" t="inlineStr">
        <is>
          <t>2012</t>
        </is>
      </c>
      <c r="B172" s="11" t="n">
        <v>6.085816206198946</v>
      </c>
      <c r="C172" s="6" t="n">
        <v>10.0044263069747</v>
      </c>
      <c r="D172" t="inlineStr">
        <is>
          <t>3/3</t>
        </is>
      </c>
      <c r="E172" s="9" t="n">
        <v>100</v>
      </c>
      <c r="F172" s="31" t="inlineStr">
        <is>
          <t>✓ Strong Performance</t>
        </is>
      </c>
    </row>
    <row r="173">
      <c r="A173" t="inlineStr">
        <is>
          <t>2013</t>
        </is>
      </c>
      <c r="B173" s="11" t="n">
        <v>3.051523077663659</v>
      </c>
      <c r="C173" s="6" t="n">
        <v>9.327994200988593</v>
      </c>
      <c r="D173" t="inlineStr">
        <is>
          <t>2/3</t>
        </is>
      </c>
      <c r="E173" s="9" t="n">
        <v>66.66666666666666</v>
      </c>
      <c r="F173" s="30" t="inlineStr">
        <is>
          <t>◐ Mixed Performance</t>
        </is>
      </c>
    </row>
    <row r="174">
      <c r="A174" t="inlineStr">
        <is>
          <t>2014</t>
        </is>
      </c>
      <c r="B174" s="11" t="n">
        <v>4.379708045383435</v>
      </c>
      <c r="C174" s="6" t="n">
        <v>9.751829105585516</v>
      </c>
      <c r="D174" t="inlineStr">
        <is>
          <t>2/3</t>
        </is>
      </c>
      <c r="E174" s="9" t="n">
        <v>66.66666666666666</v>
      </c>
      <c r="F174" s="30" t="inlineStr">
        <is>
          <t>◐ Mixed Performance</t>
        </is>
      </c>
    </row>
    <row r="175">
      <c r="A175" t="inlineStr">
        <is>
          <t>2015</t>
        </is>
      </c>
      <c r="B175" s="28" t="n">
        <v>-2.082711821263105</v>
      </c>
      <c r="C175" s="6" t="n">
        <v>7.283505896405921</v>
      </c>
      <c r="D175" t="inlineStr">
        <is>
          <t>0/3</t>
        </is>
      </c>
      <c r="E175" s="9" t="n">
        <v>0</v>
      </c>
      <c r="F175" s="29" t="inlineStr">
        <is>
          <t>✗ Weak Performance</t>
        </is>
      </c>
    </row>
    <row r="176">
      <c r="A176" t="inlineStr">
        <is>
          <t>2016</t>
        </is>
      </c>
      <c r="B176" s="28" t="n">
        <v>-0.05852690375277615</v>
      </c>
      <c r="C176" s="6" t="n">
        <v>8.756299605471044</v>
      </c>
      <c r="D176" t="inlineStr">
        <is>
          <t>2/3</t>
        </is>
      </c>
      <c r="E176" s="9" t="n">
        <v>66.66666666666666</v>
      </c>
      <c r="F176" s="30" t="inlineStr">
        <is>
          <t>◐ Mixed Performance</t>
        </is>
      </c>
    </row>
    <row r="177">
      <c r="A177" t="inlineStr">
        <is>
          <t>2017</t>
        </is>
      </c>
      <c r="B177" s="11" t="n">
        <v>7.75449621594792</v>
      </c>
      <c r="C177" s="6" t="n">
        <v>9.178940530815261</v>
      </c>
      <c r="D177" t="inlineStr">
        <is>
          <t>2/3</t>
        </is>
      </c>
      <c r="E177" s="9" t="n">
        <v>66.66666666666666</v>
      </c>
      <c r="F177" s="30" t="inlineStr">
        <is>
          <t>◐ Mixed Performance</t>
        </is>
      </c>
    </row>
    <row r="178">
      <c r="A178" t="inlineStr">
        <is>
          <t>2018</t>
        </is>
      </c>
      <c r="B178" s="11" t="n">
        <v>2.936027999156414</v>
      </c>
      <c r="C178" s="6" t="n">
        <v>10.87016194272845</v>
      </c>
      <c r="D178" t="inlineStr">
        <is>
          <t>2/3</t>
        </is>
      </c>
      <c r="E178" s="9" t="n">
        <v>66.66666666666666</v>
      </c>
      <c r="F178" s="30" t="inlineStr">
        <is>
          <t>◐ Mixed Performance</t>
        </is>
      </c>
    </row>
    <row r="179">
      <c r="A179" t="inlineStr">
        <is>
          <t>2019</t>
        </is>
      </c>
      <c r="B179" s="11" t="n">
        <v>6.451498286882659</v>
      </c>
      <c r="C179" s="6" t="n">
        <v>7.1811963481865</v>
      </c>
      <c r="D179" t="inlineStr">
        <is>
          <t>2/3</t>
        </is>
      </c>
      <c r="E179" s="9" t="n">
        <v>66.66666666666666</v>
      </c>
      <c r="F179" s="30" t="inlineStr">
        <is>
          <t>◐ Mixed Performance</t>
        </is>
      </c>
    </row>
    <row r="180">
      <c r="A180" t="inlineStr">
        <is>
          <t>2020</t>
        </is>
      </c>
      <c r="B180" s="11" t="n">
        <v>6.846184820011223</v>
      </c>
      <c r="C180" s="6" t="n">
        <v>7.208739675898056</v>
      </c>
      <c r="D180" t="inlineStr">
        <is>
          <t>3/3</t>
        </is>
      </c>
      <c r="E180" s="9" t="n">
        <v>100</v>
      </c>
      <c r="F180" s="31" t="inlineStr">
        <is>
          <t>✓ Strong Performance</t>
        </is>
      </c>
    </row>
    <row r="181">
      <c r="A181" t="inlineStr">
        <is>
          <t>2021</t>
        </is>
      </c>
      <c r="B181" s="11" t="n">
        <v>5.006773412211621</v>
      </c>
      <c r="C181" s="6" t="n">
        <v>4.909151149180916</v>
      </c>
      <c r="D181" t="inlineStr">
        <is>
          <t>2/3</t>
        </is>
      </c>
      <c r="E181" s="9" t="n">
        <v>66.66666666666666</v>
      </c>
      <c r="F181" s="30" t="inlineStr">
        <is>
          <t>◐ Mixed Performance</t>
        </is>
      </c>
    </row>
    <row r="182">
      <c r="A182" t="inlineStr">
        <is>
          <t>2022</t>
        </is>
      </c>
      <c r="B182" s="11" t="n">
        <v>1.147239123976254</v>
      </c>
      <c r="C182" s="6" t="n">
        <v>3.666489356146827</v>
      </c>
      <c r="D182" t="inlineStr">
        <is>
          <t>2/3</t>
        </is>
      </c>
      <c r="E182" s="9" t="n">
        <v>66.66666666666666</v>
      </c>
      <c r="F182" s="30" t="inlineStr">
        <is>
          <t>◐ Mixed Performance</t>
        </is>
      </c>
    </row>
    <row r="183">
      <c r="A183" t="inlineStr">
        <is>
          <t>2023</t>
        </is>
      </c>
      <c r="B183" s="11" t="n">
        <v>5.010818941869148</v>
      </c>
      <c r="C183" s="6" t="n">
        <v>7.408141473740729</v>
      </c>
      <c r="D183" t="inlineStr">
        <is>
          <t>3/3</t>
        </is>
      </c>
      <c r="E183" s="9" t="n">
        <v>100</v>
      </c>
      <c r="F183" s="31" t="inlineStr">
        <is>
          <t>✓ Strong Performance</t>
        </is>
      </c>
    </row>
    <row r="184">
      <c r="A184" t="inlineStr">
        <is>
          <t>2024</t>
        </is>
      </c>
      <c r="B184" s="11" t="n">
        <v>5.360855208659357</v>
      </c>
      <c r="C184" s="6" t="n">
        <v>7.571497303685699</v>
      </c>
      <c r="D184" t="inlineStr">
        <is>
          <t>2/3</t>
        </is>
      </c>
      <c r="E184" s="9" t="n">
        <v>66.66666666666666</v>
      </c>
      <c r="F184" s="30" t="inlineStr">
        <is>
          <t>◐ Mixed Performance</t>
        </is>
      </c>
    </row>
    <row r="185">
      <c r="A185" t="inlineStr">
        <is>
          <t>2025</t>
        </is>
      </c>
      <c r="B185" s="11" t="n">
        <v>3.443735674910848</v>
      </c>
      <c r="C185" s="6" t="n">
        <v>6.293357692298854</v>
      </c>
      <c r="D185" t="inlineStr">
        <is>
          <t>2/3</t>
        </is>
      </c>
      <c r="E185" s="9" t="n">
        <v>66.66666666666666</v>
      </c>
      <c r="F185" s="30" t="inlineStr">
        <is>
          <t>◐ Mixed Performance</t>
        </is>
      </c>
    </row>
  </sheetData>
  <mergeCells count="8">
    <mergeCell ref="A23:D23"/>
    <mergeCell ref="A17:D17"/>
    <mergeCell ref="A31:D31"/>
    <mergeCell ref="A158:D158"/>
    <mergeCell ref="A3:D3"/>
    <mergeCell ref="A1:E1"/>
    <mergeCell ref="A11:D11"/>
    <mergeCell ref="A60:D6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3" t="inlineStr">
        <is>
          <t>RISK ANALYSIS</t>
        </is>
      </c>
    </row>
    <row r="3">
      <c r="A3" s="8" t="inlineStr">
        <is>
          <t>Symbol</t>
        </is>
      </c>
      <c r="B3" s="8" t="inlineStr">
        <is>
          <t>Max Drawdown %</t>
        </is>
      </c>
      <c r="C3" s="8" t="inlineStr">
        <is>
          <t>Volatility %</t>
        </is>
      </c>
      <c r="D3" s="8" t="inlineStr">
        <is>
          <t>Downside Dev %</t>
        </is>
      </c>
      <c r="E3" s="8" t="inlineStr">
        <is>
          <t>Worst Day %</t>
        </is>
      </c>
      <c r="F3" s="8" t="inlineStr">
        <is>
          <t>Sharpe</t>
        </is>
      </c>
      <c r="G3" s="8" t="inlineStr">
        <is>
          <t>Sortino</t>
        </is>
      </c>
      <c r="H3" s="8" t="inlineStr">
        <is>
          <t>Calmar</t>
        </is>
      </c>
    </row>
    <row r="4">
      <c r="A4" t="inlineStr">
        <is>
          <t>AAPL</t>
        </is>
      </c>
      <c r="B4" s="6" t="n">
        <v>12.18919979058913</v>
      </c>
      <c r="C4" s="6" t="n">
        <v>7.110098948156722</v>
      </c>
      <c r="D4" s="6" t="n">
        <v>6.771378175023216</v>
      </c>
      <c r="E4" s="6" t="n">
        <v>-2.843779830188897</v>
      </c>
      <c r="F4" s="12" t="n">
        <v>0.5684996809428412</v>
      </c>
      <c r="G4" s="12" t="n">
        <v>0.3813185380035972</v>
      </c>
      <c r="H4" s="12" t="n">
        <v>0.4863478433194566</v>
      </c>
    </row>
    <row r="5">
      <c r="A5" t="inlineStr">
        <is>
          <t>BLK</t>
        </is>
      </c>
      <c r="B5" s="6" t="n">
        <v>15.78172439066217</v>
      </c>
      <c r="C5" s="6" t="n">
        <v>6.621564035784641</v>
      </c>
      <c r="D5" s="6" t="n">
        <v>6.969424113082204</v>
      </c>
      <c r="E5" s="6" t="n">
        <v>-3.822688176983036</v>
      </c>
      <c r="F5" s="12" t="n">
        <v>0.2004072985752582</v>
      </c>
      <c r="G5" s="12" t="n">
        <v>-0.01908725808857308</v>
      </c>
      <c r="H5" s="12" t="n">
        <v>0.1983724650958782</v>
      </c>
    </row>
    <row r="6">
      <c r="A6" t="inlineStr">
        <is>
          <t>DLY</t>
        </is>
      </c>
      <c r="B6" s="6" t="n">
        <v>20.16355695499814</v>
      </c>
      <c r="C6" s="6" t="n">
        <v>6.327150136016073</v>
      </c>
      <c r="D6" s="6" t="n">
        <v>6.903172259255924</v>
      </c>
      <c r="E6" s="6" t="n">
        <v>-3.903814994993937</v>
      </c>
      <c r="F6" s="12" t="n">
        <v>-0.1713226698546749</v>
      </c>
      <c r="G6" s="12" t="n">
        <v>-0.3685292957875088</v>
      </c>
      <c r="H6" s="12" t="n">
        <v>0.0343805225151031</v>
      </c>
    </row>
    <row r="9">
      <c r="A9" s="4" t="inlineStr">
        <is>
          <t>RISK-RETURN PROFILE</t>
        </is>
      </c>
    </row>
    <row r="10">
      <c r="A10" s="16" t="inlineStr">
        <is>
          <t>Symbol</t>
        </is>
      </c>
      <c r="B10" s="16" t="inlineStr">
        <is>
          <t>Return %</t>
        </is>
      </c>
      <c r="C10" s="16" t="inlineStr">
        <is>
          <t>Risk (Volatility %)</t>
        </is>
      </c>
      <c r="D10" s="16" t="inlineStr">
        <is>
          <t>Risk-Adjusted Return</t>
        </is>
      </c>
    </row>
    <row r="11">
      <c r="A11" t="inlineStr">
        <is>
          <t>AAPL</t>
        </is>
      </c>
      <c r="B11" s="6" t="n">
        <v>344.2924096725308</v>
      </c>
      <c r="C11" s="6" t="n">
        <v>7.110098948156722</v>
      </c>
      <c r="D11" s="12" t="n">
        <v>48.42301241979029</v>
      </c>
    </row>
    <row r="12">
      <c r="A12" t="inlineStr">
        <is>
          <t>BLK</t>
        </is>
      </c>
      <c r="B12" s="6" t="n">
        <v>122.2191427907722</v>
      </c>
      <c r="C12" s="6" t="n">
        <v>6.621564035784641</v>
      </c>
      <c r="D12" s="12" t="n">
        <v>18.45774534993068</v>
      </c>
    </row>
    <row r="13">
      <c r="A13" t="inlineStr">
        <is>
          <t>DLY</t>
        </is>
      </c>
      <c r="B13" s="6" t="n">
        <v>18.6552378606883</v>
      </c>
      <c r="C13" s="6" t="n">
        <v>6.327150136016073</v>
      </c>
      <c r="D13" s="12" t="n">
        <v>2.948442420308154</v>
      </c>
    </row>
  </sheetData>
  <mergeCells count="2">
    <mergeCell ref="A1:D1"/>
    <mergeCell ref="A9:D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3" t="inlineStr">
        <is>
          <t>ANNUAL RISK-ADJUSTED RATIOS BY SECURITY</t>
        </is>
      </c>
    </row>
    <row r="3">
      <c r="A3" s="4" t="inlineStr">
        <is>
          <t>YEAR 2000.0</t>
        </is>
      </c>
    </row>
    <row r="4">
      <c r="A4" s="8" t="inlineStr">
        <is>
          <t>Security</t>
        </is>
      </c>
      <c r="B4" s="8" t="inlineStr">
        <is>
          <t>Annual Return %</t>
        </is>
      </c>
      <c r="C4" s="8" t="inlineStr">
        <is>
          <t>Max DD %</t>
        </is>
      </c>
      <c r="D4" s="8" t="inlineStr">
        <is>
          <t>Sharpe</t>
        </is>
      </c>
      <c r="E4" s="8" t="inlineStr">
        <is>
          <t>Sortino</t>
        </is>
      </c>
      <c r="F4" s="8" t="inlineStr">
        <is>
          <t>Calmar</t>
        </is>
      </c>
    </row>
    <row r="5">
      <c r="A5" t="inlineStr">
        <is>
          <t>BLK</t>
        </is>
      </c>
      <c r="B5" s="11" t="n">
        <v>10.66824085893283</v>
      </c>
      <c r="C5" s="6" t="n">
        <v>6.912289254468865</v>
      </c>
      <c r="D5" s="32" t="n">
        <v>0.6898827252530821</v>
      </c>
      <c r="E5" s="32" t="n">
        <v>0.6229283659309934</v>
      </c>
      <c r="F5" s="33" t="n">
        <v>1.543373036948028</v>
      </c>
    </row>
    <row r="6">
      <c r="A6" t="inlineStr">
        <is>
          <t>AAPL</t>
        </is>
      </c>
      <c r="B6" s="28" t="n">
        <v>-1.712262064365633</v>
      </c>
      <c r="C6" s="6" t="n">
        <v>3.29475878369953</v>
      </c>
      <c r="D6" s="32" t="n">
        <v>-1.294009481322781</v>
      </c>
      <c r="E6" s="32" t="n">
        <v>-0.756674837551508</v>
      </c>
      <c r="F6" s="32" t="n">
        <v>-0.5196926927812949</v>
      </c>
    </row>
    <row r="9">
      <c r="A9" s="4" t="inlineStr">
        <is>
          <t>YEAR 2001.0</t>
        </is>
      </c>
    </row>
    <row r="10">
      <c r="A10" s="8" t="inlineStr">
        <is>
          <t>Security</t>
        </is>
      </c>
      <c r="B10" s="8" t="inlineStr">
        <is>
          <t>Annual Return %</t>
        </is>
      </c>
      <c r="C10" s="8" t="inlineStr">
        <is>
          <t>Max DD %</t>
        </is>
      </c>
      <c r="D10" s="8" t="inlineStr">
        <is>
          <t>Sharpe</t>
        </is>
      </c>
      <c r="E10" s="8" t="inlineStr">
        <is>
          <t>Sortino</t>
        </is>
      </c>
      <c r="F10" s="8" t="inlineStr">
        <is>
          <t>Calmar</t>
        </is>
      </c>
    </row>
    <row r="11">
      <c r="A11" t="inlineStr">
        <is>
          <t>AAPL</t>
        </is>
      </c>
      <c r="B11" s="11" t="n">
        <v>0.9130809529916295</v>
      </c>
      <c r="C11" s="6" t="n">
        <v>5.928966490940387</v>
      </c>
      <c r="D11" s="32" t="n">
        <v>-0.3552145403241189</v>
      </c>
      <c r="E11" s="32" t="n">
        <v>-0.3555894281080009</v>
      </c>
      <c r="F11" s="32" t="n">
        <v>0.1540033923934029</v>
      </c>
    </row>
    <row r="12">
      <c r="A12" t="inlineStr">
        <is>
          <t>BLK</t>
        </is>
      </c>
      <c r="B12" s="28" t="n">
        <v>-2.816647615226342</v>
      </c>
      <c r="C12" s="6" t="n">
        <v>4.745001193618853</v>
      </c>
      <c r="D12" s="32" t="n">
        <v>-1.615412876828671</v>
      </c>
      <c r="E12" s="32" t="n">
        <v>-0.743161022801999</v>
      </c>
      <c r="F12" s="32" t="n">
        <v>-0.5936031415575218</v>
      </c>
    </row>
    <row r="13">
      <c r="A13" t="inlineStr">
        <is>
          <t>DLY</t>
        </is>
      </c>
      <c r="B13" s="28" t="n">
        <v>-2.833648317526027</v>
      </c>
      <c r="C13" s="6" t="n">
        <v>2.978713611617354</v>
      </c>
      <c r="D13" s="32" t="n">
        <v>-3.164870258359197</v>
      </c>
      <c r="E13" s="32" t="n">
        <v>-1.831537041583013</v>
      </c>
      <c r="F13" s="32" t="n">
        <v>-0.951299348307419</v>
      </c>
    </row>
    <row r="16">
      <c r="A16" s="4" t="inlineStr">
        <is>
          <t>YEAR 2002.0</t>
        </is>
      </c>
    </row>
    <row r="17">
      <c r="A17" s="8" t="inlineStr">
        <is>
          <t>Security</t>
        </is>
      </c>
      <c r="B17" s="8" t="inlineStr">
        <is>
          <t>Annual Return %</t>
        </is>
      </c>
      <c r="C17" s="8" t="inlineStr">
        <is>
          <t>Max DD %</t>
        </is>
      </c>
      <c r="D17" s="8" t="inlineStr">
        <is>
          <t>Sharpe</t>
        </is>
      </c>
      <c r="E17" s="8" t="inlineStr">
        <is>
          <t>Sortino</t>
        </is>
      </c>
      <c r="F17" s="8" t="inlineStr">
        <is>
          <t>Calmar</t>
        </is>
      </c>
    </row>
    <row r="18">
      <c r="A18" t="inlineStr">
        <is>
          <t>DLY</t>
        </is>
      </c>
      <c r="B18" s="11" t="n">
        <v>2.543469650691343</v>
      </c>
      <c r="C18" s="6" t="n">
        <v>2.323579124826309</v>
      </c>
      <c r="D18" s="32" t="n">
        <v>-0.212314126425901</v>
      </c>
      <c r="E18" s="32" t="n">
        <v>-0.2157391812531915</v>
      </c>
      <c r="F18" s="33" t="n">
        <v>1.094634404103399</v>
      </c>
    </row>
    <row r="19">
      <c r="A19" t="inlineStr">
        <is>
          <t>BLK</t>
        </is>
      </c>
      <c r="B19" s="28" t="n">
        <v>-4.869858142403427</v>
      </c>
      <c r="C19" s="6" t="n">
        <v>5.148299274297143</v>
      </c>
      <c r="D19" s="32" t="n">
        <v>-1.813176199424482</v>
      </c>
      <c r="E19" s="32" t="n">
        <v>-1.337980662231276</v>
      </c>
      <c r="F19" s="32" t="n">
        <v>-0.9459159001723477</v>
      </c>
    </row>
    <row r="20">
      <c r="A20" t="inlineStr">
        <is>
          <t>AAPL</t>
        </is>
      </c>
      <c r="B20" s="28" t="n">
        <v>-7.022893158816867</v>
      </c>
      <c r="C20" s="6" t="n">
        <v>7.215151572614309</v>
      </c>
      <c r="D20" s="32" t="n">
        <v>-2.844336429232599</v>
      </c>
      <c r="E20" s="32" t="n">
        <v>-1.440861669121394</v>
      </c>
      <c r="F20" s="32" t="n">
        <v>-0.9733535169895565</v>
      </c>
    </row>
    <row r="23">
      <c r="A23" s="4" t="inlineStr">
        <is>
          <t>YEAR 2003.0</t>
        </is>
      </c>
    </row>
    <row r="24">
      <c r="A24" s="8" t="inlineStr">
        <is>
          <t>Security</t>
        </is>
      </c>
      <c r="B24" s="8" t="inlineStr">
        <is>
          <t>Annual Return %</t>
        </is>
      </c>
      <c r="C24" s="8" t="inlineStr">
        <is>
          <t>Max DD %</t>
        </is>
      </c>
      <c r="D24" s="8" t="inlineStr">
        <is>
          <t>Sharpe</t>
        </is>
      </c>
      <c r="E24" s="8" t="inlineStr">
        <is>
          <t>Sortino</t>
        </is>
      </c>
      <c r="F24" s="8" t="inlineStr">
        <is>
          <t>Calmar</t>
        </is>
      </c>
    </row>
    <row r="25">
      <c r="A25" t="inlineStr">
        <is>
          <t>AAPL</t>
        </is>
      </c>
      <c r="B25" s="11" t="n">
        <v>10.35857413393699</v>
      </c>
      <c r="C25" s="6" t="n">
        <v>4.092445676482881</v>
      </c>
      <c r="D25" s="32" t="n">
        <v>0.8436820514999424</v>
      </c>
      <c r="E25" s="12" t="n">
        <v>1.034110589995073</v>
      </c>
      <c r="F25" s="33" t="n">
        <v>2.53114517645579</v>
      </c>
    </row>
    <row r="26">
      <c r="A26" t="inlineStr">
        <is>
          <t>BLK</t>
        </is>
      </c>
      <c r="B26" s="11" t="n">
        <v>1.891566028135405</v>
      </c>
      <c r="C26" s="6" t="n">
        <v>3.663604583940232</v>
      </c>
      <c r="D26" s="32" t="n">
        <v>-0.2327918739302918</v>
      </c>
      <c r="E26" s="32" t="n">
        <v>-0.1955762293445896</v>
      </c>
      <c r="F26" s="12" t="n">
        <v>0.5163128238312805</v>
      </c>
    </row>
    <row r="27">
      <c r="A27" t="inlineStr">
        <is>
          <t>DLY</t>
        </is>
      </c>
      <c r="B27" s="11" t="n">
        <v>0.7692091753310093</v>
      </c>
      <c r="C27" s="6" t="n">
        <v>3.835505797417798</v>
      </c>
      <c r="D27" s="32" t="n">
        <v>-0.5638117600381587</v>
      </c>
      <c r="E27" s="32" t="n">
        <v>-0.5456087837854218</v>
      </c>
      <c r="F27" s="32" t="n">
        <v>0.2005496056996887</v>
      </c>
    </row>
    <row r="30">
      <c r="A30" s="4" t="inlineStr">
        <is>
          <t>YEAR 2004.0</t>
        </is>
      </c>
    </row>
    <row r="31">
      <c r="A31" s="8" t="inlineStr">
        <is>
          <t>Security</t>
        </is>
      </c>
      <c r="B31" s="8" t="inlineStr">
        <is>
          <t>Annual Return %</t>
        </is>
      </c>
      <c r="C31" s="8" t="inlineStr">
        <is>
          <t>Max DD %</t>
        </is>
      </c>
      <c r="D31" s="8" t="inlineStr">
        <is>
          <t>Sharpe</t>
        </is>
      </c>
      <c r="E31" s="8" t="inlineStr">
        <is>
          <t>Sortino</t>
        </is>
      </c>
      <c r="F31" s="8" t="inlineStr">
        <is>
          <t>Calmar</t>
        </is>
      </c>
    </row>
    <row r="32">
      <c r="A32" t="inlineStr">
        <is>
          <t>DLY</t>
        </is>
      </c>
      <c r="B32" s="6" t="n">
        <v>0</v>
      </c>
      <c r="C32" s="6" t="n">
        <v>0</v>
      </c>
      <c r="D32" s="32" t="n">
        <v>0</v>
      </c>
      <c r="E32" s="32" t="n">
        <v>0</v>
      </c>
      <c r="F32" s="32" t="n">
        <v>0</v>
      </c>
    </row>
    <row r="33">
      <c r="A33" t="inlineStr">
        <is>
          <t>BLK</t>
        </is>
      </c>
      <c r="B33" s="11" t="n">
        <v>0.5257798049637774</v>
      </c>
      <c r="C33" s="6" t="n">
        <v>6.697022255075316</v>
      </c>
      <c r="D33" s="32" t="n">
        <v>-0.3257918666494496</v>
      </c>
      <c r="E33" s="32" t="n">
        <v>-0.448631590489433</v>
      </c>
      <c r="F33" s="32" t="n">
        <v>0.07850949047769953</v>
      </c>
    </row>
    <row r="34">
      <c r="A34" t="inlineStr">
        <is>
          <t>AAPL</t>
        </is>
      </c>
      <c r="B34" s="28" t="n">
        <v>-3.817635260025687</v>
      </c>
      <c r="C34" s="6" t="n">
        <v>5.590627678648197</v>
      </c>
      <c r="D34" s="32" t="n">
        <v>-2.426694610521065</v>
      </c>
      <c r="E34" s="32" t="n">
        <v>-1.120235721591981</v>
      </c>
      <c r="F34" s="32" t="n">
        <v>-0.6828634420793309</v>
      </c>
    </row>
    <row r="37">
      <c r="A37" s="4" t="inlineStr">
        <is>
          <t>YEAR 2005.0</t>
        </is>
      </c>
    </row>
    <row r="38">
      <c r="A38" s="8" t="inlineStr">
        <is>
          <t>Security</t>
        </is>
      </c>
      <c r="B38" s="8" t="inlineStr">
        <is>
          <t>Annual Return %</t>
        </is>
      </c>
      <c r="C38" s="8" t="inlineStr">
        <is>
          <t>Max DD %</t>
        </is>
      </c>
      <c r="D38" s="8" t="inlineStr">
        <is>
          <t>Sharpe</t>
        </is>
      </c>
      <c r="E38" s="8" t="inlineStr">
        <is>
          <t>Sortino</t>
        </is>
      </c>
      <c r="F38" s="8" t="inlineStr">
        <is>
          <t>Calmar</t>
        </is>
      </c>
    </row>
    <row r="39">
      <c r="A39" t="inlineStr">
        <is>
          <t>AAPL</t>
        </is>
      </c>
      <c r="B39" s="11" t="n">
        <v>20.36018224535709</v>
      </c>
      <c r="C39" s="6" t="n">
        <v>4.519955227057464</v>
      </c>
      <c r="D39" s="12" t="n">
        <v>1.755767608146777</v>
      </c>
      <c r="E39" s="33" t="n">
        <v>2.565782180492831</v>
      </c>
      <c r="F39" s="33" t="n">
        <v>4.504509718033596</v>
      </c>
    </row>
    <row r="40">
      <c r="A40" t="inlineStr">
        <is>
          <t>BLK</t>
        </is>
      </c>
      <c r="B40" s="11" t="n">
        <v>8.446064236150551</v>
      </c>
      <c r="C40" s="6" t="n">
        <v>2.169501024805813</v>
      </c>
      <c r="D40" s="12" t="n">
        <v>1.102885609673367</v>
      </c>
      <c r="E40" s="12" t="n">
        <v>1.193279905003704</v>
      </c>
      <c r="F40" s="33" t="n">
        <v>3.893090687480333</v>
      </c>
    </row>
    <row r="41">
      <c r="A41" t="inlineStr">
        <is>
          <t>DLY</t>
        </is>
      </c>
      <c r="B41" s="28" t="n">
        <v>-2.643642354508091</v>
      </c>
      <c r="C41" s="6" t="n">
        <v>3.566843018719332</v>
      </c>
      <c r="D41" s="32" t="n">
        <v>-1.598794036834418</v>
      </c>
      <c r="E41" s="32" t="n">
        <v>-0.9220611798289893</v>
      </c>
      <c r="F41" s="32" t="n">
        <v>-0.741171489923682</v>
      </c>
    </row>
    <row r="44">
      <c r="A44" s="4" t="inlineStr">
        <is>
          <t>YEAR 2006.0</t>
        </is>
      </c>
    </row>
    <row r="45">
      <c r="A45" s="8" t="inlineStr">
        <is>
          <t>Security</t>
        </is>
      </c>
      <c r="B45" s="8" t="inlineStr">
        <is>
          <t>Annual Return %</t>
        </is>
      </c>
      <c r="C45" s="8" t="inlineStr">
        <is>
          <t>Max DD %</t>
        </is>
      </c>
      <c r="D45" s="8" t="inlineStr">
        <is>
          <t>Sharpe</t>
        </is>
      </c>
      <c r="E45" s="8" t="inlineStr">
        <is>
          <t>Sortino</t>
        </is>
      </c>
      <c r="F45" s="8" t="inlineStr">
        <is>
          <t>Calmar</t>
        </is>
      </c>
    </row>
    <row r="46">
      <c r="A46" t="inlineStr">
        <is>
          <t>BLK</t>
        </is>
      </c>
      <c r="B46" s="11" t="n">
        <v>3.961451752000822</v>
      </c>
      <c r="C46" s="6" t="n">
        <v>6.877037371295041</v>
      </c>
      <c r="D46" s="32" t="n">
        <v>0.09728622005256443</v>
      </c>
      <c r="E46" s="32" t="n">
        <v>0.1125889817154707</v>
      </c>
      <c r="F46" s="12" t="n">
        <v>0.576040457266677</v>
      </c>
    </row>
    <row r="47">
      <c r="A47" t="inlineStr">
        <is>
          <t>DLY</t>
        </is>
      </c>
      <c r="B47" s="11" t="n">
        <v>0.4639337818388212</v>
      </c>
      <c r="C47" s="6" t="n">
        <v>6.950413358884097</v>
      </c>
      <c r="D47" s="32" t="n">
        <v>-0.4267456909807463</v>
      </c>
      <c r="E47" s="32" t="n">
        <v>-0.3149783330501582</v>
      </c>
      <c r="F47" s="32" t="n">
        <v>0.06674909215950671</v>
      </c>
    </row>
    <row r="48">
      <c r="A48" t="inlineStr">
        <is>
          <t>AAPL</t>
        </is>
      </c>
      <c r="B48" s="28" t="n">
        <v>-0.3917379763822781</v>
      </c>
      <c r="C48" s="6" t="n">
        <v>8.387286020824563</v>
      </c>
      <c r="D48" s="32" t="n">
        <v>-0.5437229202970757</v>
      </c>
      <c r="E48" s="32" t="n">
        <v>-0.5870960002585935</v>
      </c>
      <c r="F48" s="32" t="n">
        <v>-0.04670616638202663</v>
      </c>
    </row>
    <row r="51">
      <c r="A51" s="4" t="inlineStr">
        <is>
          <t>YEAR 2007.0</t>
        </is>
      </c>
    </row>
    <row r="52">
      <c r="A52" s="8" t="inlineStr">
        <is>
          <t>Security</t>
        </is>
      </c>
      <c r="B52" s="8" t="inlineStr">
        <is>
          <t>Annual Return %</t>
        </is>
      </c>
      <c r="C52" s="8" t="inlineStr">
        <is>
          <t>Max DD %</t>
        </is>
      </c>
      <c r="D52" s="8" t="inlineStr">
        <is>
          <t>Sharpe</t>
        </is>
      </c>
      <c r="E52" s="8" t="inlineStr">
        <is>
          <t>Sortino</t>
        </is>
      </c>
      <c r="F52" s="8" t="inlineStr">
        <is>
          <t>Calmar</t>
        </is>
      </c>
    </row>
    <row r="53">
      <c r="A53" t="inlineStr">
        <is>
          <t>AAPL</t>
        </is>
      </c>
      <c r="B53" s="11" t="n">
        <v>11.58932289280656</v>
      </c>
      <c r="C53" s="6" t="n">
        <v>7.445285806452253</v>
      </c>
      <c r="D53" s="32" t="n">
        <v>0.8495669730093948</v>
      </c>
      <c r="E53" s="32" t="n">
        <v>0.8744608568110952</v>
      </c>
      <c r="F53" s="33" t="n">
        <v>1.556598792052146</v>
      </c>
    </row>
    <row r="54">
      <c r="A54" t="inlineStr">
        <is>
          <t>BLK</t>
        </is>
      </c>
      <c r="B54" s="11" t="n">
        <v>10.336590035174</v>
      </c>
      <c r="C54" s="6" t="n">
        <v>4.846766355145307</v>
      </c>
      <c r="D54" s="32" t="n">
        <v>0.7485411837659655</v>
      </c>
      <c r="E54" s="12" t="n">
        <v>1.085961659066538</v>
      </c>
      <c r="F54" s="33" t="n">
        <v>2.132677599406193</v>
      </c>
    </row>
    <row r="55">
      <c r="A55" t="inlineStr">
        <is>
          <t>DLY</t>
        </is>
      </c>
      <c r="B55" s="28" t="n">
        <v>-2.802842911221104</v>
      </c>
      <c r="C55" s="6" t="n">
        <v>11.3616662612345</v>
      </c>
      <c r="D55" s="32" t="n">
        <v>-1.074480971637316</v>
      </c>
      <c r="E55" s="32" t="n">
        <v>-1.0491556853431</v>
      </c>
      <c r="F55" s="32" t="n">
        <v>-0.2466929450994595</v>
      </c>
    </row>
    <row r="58">
      <c r="A58" s="4" t="inlineStr">
        <is>
          <t>YEAR 2008.0</t>
        </is>
      </c>
    </row>
    <row r="59">
      <c r="A59" s="8" t="inlineStr">
        <is>
          <t>Security</t>
        </is>
      </c>
      <c r="B59" s="8" t="inlineStr">
        <is>
          <t>Annual Return %</t>
        </is>
      </c>
      <c r="C59" s="8" t="inlineStr">
        <is>
          <t>Max DD %</t>
        </is>
      </c>
      <c r="D59" s="8" t="inlineStr">
        <is>
          <t>Sharpe</t>
        </is>
      </c>
      <c r="E59" s="8" t="inlineStr">
        <is>
          <t>Sortino</t>
        </is>
      </c>
      <c r="F59" s="8" t="inlineStr">
        <is>
          <t>Calmar</t>
        </is>
      </c>
    </row>
    <row r="60">
      <c r="A60" t="inlineStr">
        <is>
          <t>AAPL</t>
        </is>
      </c>
      <c r="B60" s="11" t="n">
        <v>1.497370827349132</v>
      </c>
      <c r="C60" s="6" t="n">
        <v>3.471604450863642</v>
      </c>
      <c r="D60" s="32" t="n">
        <v>-0.4186249911529473</v>
      </c>
      <c r="E60" s="32" t="n">
        <v>-0.3041841767395205</v>
      </c>
      <c r="F60" s="32" t="n">
        <v>0.4313195378513315</v>
      </c>
    </row>
    <row r="61">
      <c r="A61" t="inlineStr">
        <is>
          <t>BLK</t>
        </is>
      </c>
      <c r="B61" s="28" t="n">
        <v>-3.347460502620292</v>
      </c>
      <c r="C61" s="6" t="n">
        <v>5.855614157131474</v>
      </c>
      <c r="D61" s="32" t="n">
        <v>-1.269541486501</v>
      </c>
      <c r="E61" s="32" t="n">
        <v>-1.094024360780353</v>
      </c>
      <c r="F61" s="32" t="n">
        <v>-0.5716668504435977</v>
      </c>
    </row>
    <row r="62">
      <c r="A62" t="inlineStr">
        <is>
          <t>DLY</t>
        </is>
      </c>
      <c r="B62" s="28" t="n">
        <v>-5.756244946933354</v>
      </c>
      <c r="C62" s="6" t="n">
        <v>6.648218435413631</v>
      </c>
      <c r="D62" s="32" t="n">
        <v>-2.609840993112382</v>
      </c>
      <c r="E62" s="32" t="n">
        <v>-1.990646755115964</v>
      </c>
      <c r="F62" s="32" t="n">
        <v>-0.8658327043334005</v>
      </c>
    </row>
    <row r="65">
      <c r="A65" s="4" t="inlineStr">
        <is>
          <t>YEAR 2009.0</t>
        </is>
      </c>
    </row>
    <row r="66">
      <c r="A66" s="8" t="inlineStr">
        <is>
          <t>Security</t>
        </is>
      </c>
      <c r="B66" s="8" t="inlineStr">
        <is>
          <t>Annual Return %</t>
        </is>
      </c>
      <c r="C66" s="8" t="inlineStr">
        <is>
          <t>Max DD %</t>
        </is>
      </c>
      <c r="D66" s="8" t="inlineStr">
        <is>
          <t>Sharpe</t>
        </is>
      </c>
      <c r="E66" s="8" t="inlineStr">
        <is>
          <t>Sortino</t>
        </is>
      </c>
      <c r="F66" s="8" t="inlineStr">
        <is>
          <t>Calmar</t>
        </is>
      </c>
    </row>
    <row r="67">
      <c r="A67" t="inlineStr">
        <is>
          <t>AAPL</t>
        </is>
      </c>
      <c r="B67" s="11" t="n">
        <v>22.08034912828498</v>
      </c>
      <c r="C67" s="6" t="n">
        <v>2.712127979747422</v>
      </c>
      <c r="D67" s="33" t="n">
        <v>2.359534886792304</v>
      </c>
      <c r="E67" s="33" t="n">
        <v>3.69583523773957</v>
      </c>
      <c r="F67" s="33" t="n">
        <v>8.141337463854232</v>
      </c>
    </row>
    <row r="68">
      <c r="A68" t="inlineStr">
        <is>
          <t>DLY</t>
        </is>
      </c>
      <c r="B68" s="11" t="n">
        <v>19.42574003004085</v>
      </c>
      <c r="C68" s="6" t="n">
        <v>3.992589126211119</v>
      </c>
      <c r="D68" s="12" t="n">
        <v>1.86539298670784</v>
      </c>
      <c r="E68" s="33" t="n">
        <v>2.782603296263581</v>
      </c>
      <c r="F68" s="33" t="n">
        <v>4.865449315210518</v>
      </c>
    </row>
    <row r="69">
      <c r="A69" t="inlineStr">
        <is>
          <t>BLK</t>
        </is>
      </c>
      <c r="B69" s="11" t="n">
        <v>11.31301951981632</v>
      </c>
      <c r="C69" s="6" t="n">
        <v>2.051143206951867</v>
      </c>
      <c r="D69" s="12" t="n">
        <v>1.156380266589845</v>
      </c>
      <c r="E69" s="12" t="n">
        <v>1.771052574512048</v>
      </c>
      <c r="F69" s="33" t="n">
        <v>5.515470339405604</v>
      </c>
    </row>
    <row r="72">
      <c r="A72" s="4" t="inlineStr">
        <is>
          <t>YEAR 2010.0</t>
        </is>
      </c>
    </row>
    <row r="73">
      <c r="A73" s="8" t="inlineStr">
        <is>
          <t>Security</t>
        </is>
      </c>
      <c r="B73" s="8" t="inlineStr">
        <is>
          <t>Annual Return %</t>
        </is>
      </c>
      <c r="C73" s="8" t="inlineStr">
        <is>
          <t>Max DD %</t>
        </is>
      </c>
      <c r="D73" s="8" t="inlineStr">
        <is>
          <t>Sharpe</t>
        </is>
      </c>
      <c r="E73" s="8" t="inlineStr">
        <is>
          <t>Sortino</t>
        </is>
      </c>
      <c r="F73" s="8" t="inlineStr">
        <is>
          <t>Calmar</t>
        </is>
      </c>
    </row>
    <row r="74">
      <c r="A74" t="inlineStr">
        <is>
          <t>AAPL</t>
        </is>
      </c>
      <c r="B74" s="11" t="n">
        <v>6.898749246688229</v>
      </c>
      <c r="C74" s="6" t="n">
        <v>5.945157653786086</v>
      </c>
      <c r="D74" s="32" t="n">
        <v>0.4512727292040611</v>
      </c>
      <c r="E74" s="32" t="n">
        <v>0.458406119114064</v>
      </c>
      <c r="F74" s="33" t="n">
        <v>1.160398032892343</v>
      </c>
    </row>
    <row r="75">
      <c r="A75" t="inlineStr">
        <is>
          <t>BLK</t>
        </is>
      </c>
      <c r="B75" s="11" t="n">
        <v>4.244231825557865</v>
      </c>
      <c r="C75" s="6" t="n">
        <v>4.518235091657065</v>
      </c>
      <c r="D75" s="32" t="n">
        <v>0.156676864791345</v>
      </c>
      <c r="E75" s="32" t="n">
        <v>0.1528570939670117</v>
      </c>
      <c r="F75" s="12" t="n">
        <v>0.9393561289882529</v>
      </c>
    </row>
    <row r="76">
      <c r="A76" t="inlineStr">
        <is>
          <t>DLY</t>
        </is>
      </c>
      <c r="B76" s="28" t="n">
        <v>-3.102568472714262</v>
      </c>
      <c r="C76" s="6" t="n">
        <v>6.588430789760038</v>
      </c>
      <c r="D76" s="32" t="n">
        <v>-1.039393964106835</v>
      </c>
      <c r="E76" s="32" t="n">
        <v>-0.9578695540494665</v>
      </c>
      <c r="F76" s="32" t="n">
        <v>-0.4709115981815244</v>
      </c>
    </row>
    <row r="79">
      <c r="A79" s="4" t="inlineStr">
        <is>
          <t>YEAR 2011.0</t>
        </is>
      </c>
    </row>
    <row r="80">
      <c r="A80" s="8" t="inlineStr">
        <is>
          <t>Security</t>
        </is>
      </c>
      <c r="B80" s="8" t="inlineStr">
        <is>
          <t>Annual Return %</t>
        </is>
      </c>
      <c r="C80" s="8" t="inlineStr">
        <is>
          <t>Max DD %</t>
        </is>
      </c>
      <c r="D80" s="8" t="inlineStr">
        <is>
          <t>Sharpe</t>
        </is>
      </c>
      <c r="E80" s="8" t="inlineStr">
        <is>
          <t>Sortino</t>
        </is>
      </c>
      <c r="F80" s="8" t="inlineStr">
        <is>
          <t>Calmar</t>
        </is>
      </c>
    </row>
    <row r="81">
      <c r="A81" t="inlineStr">
        <is>
          <t>AAPL</t>
        </is>
      </c>
      <c r="B81" s="28" t="n">
        <v>-1.741857775462352</v>
      </c>
      <c r="C81" s="6" t="n">
        <v>10.94491813901752</v>
      </c>
      <c r="D81" s="32" t="n">
        <v>-0.7055779375168181</v>
      </c>
      <c r="E81" s="32" t="n">
        <v>-0.6568493350415948</v>
      </c>
      <c r="F81" s="32" t="n">
        <v>-0.1591476293689951</v>
      </c>
    </row>
    <row r="82">
      <c r="A82" t="inlineStr">
        <is>
          <t>BLK</t>
        </is>
      </c>
      <c r="B82" s="28" t="n">
        <v>-4.625724689034438</v>
      </c>
      <c r="C82" s="6" t="n">
        <v>9.063934474931877</v>
      </c>
      <c r="D82" s="32" t="n">
        <v>-1.296841267321155</v>
      </c>
      <c r="E82" s="32" t="n">
        <v>-0.9833433305122438</v>
      </c>
      <c r="F82" s="32" t="n">
        <v>-0.5103440125066885</v>
      </c>
    </row>
    <row r="83">
      <c r="A83" t="inlineStr">
        <is>
          <t>DLY</t>
        </is>
      </c>
      <c r="B83" s="28" t="n">
        <v>-7.469169874490222</v>
      </c>
      <c r="C83" s="6" t="n">
        <v>8.792441408636071</v>
      </c>
      <c r="D83" s="32" t="n">
        <v>-2.345811946996606</v>
      </c>
      <c r="E83" s="32" t="n">
        <v>-1.000897406171347</v>
      </c>
      <c r="F83" s="32" t="n">
        <v>-0.8494989647760278</v>
      </c>
    </row>
    <row r="86">
      <c r="A86" s="4" t="inlineStr">
        <is>
          <t>YEAR 2012.0</t>
        </is>
      </c>
    </row>
    <row r="87">
      <c r="A87" s="8" t="inlineStr">
        <is>
          <t>Security</t>
        </is>
      </c>
      <c r="B87" s="8" t="inlineStr">
        <is>
          <t>Annual Return %</t>
        </is>
      </c>
      <c r="C87" s="8" t="inlineStr">
        <is>
          <t>Max DD %</t>
        </is>
      </c>
      <c r="D87" s="8" t="inlineStr">
        <is>
          <t>Sharpe</t>
        </is>
      </c>
      <c r="E87" s="8" t="inlineStr">
        <is>
          <t>Sortino</t>
        </is>
      </c>
      <c r="F87" s="8" t="inlineStr">
        <is>
          <t>Calmar</t>
        </is>
      </c>
    </row>
    <row r="88">
      <c r="A88" t="inlineStr">
        <is>
          <t>DLY</t>
        </is>
      </c>
      <c r="B88" s="11" t="n">
        <v>9.528846034751236</v>
      </c>
      <c r="C88" s="6" t="n">
        <v>3.686205605031508</v>
      </c>
      <c r="D88" s="32" t="n">
        <v>0.8361207078660005</v>
      </c>
      <c r="E88" s="12" t="n">
        <v>1.159065822304957</v>
      </c>
      <c r="F88" s="33" t="n">
        <v>2.585001233177222</v>
      </c>
    </row>
    <row r="89">
      <c r="A89" t="inlineStr">
        <is>
          <t>AAPL</t>
        </is>
      </c>
      <c r="B89" s="11" t="n">
        <v>8.721133092589151</v>
      </c>
      <c r="C89" s="6" t="n">
        <v>8.329551917020893</v>
      </c>
      <c r="D89" s="32" t="n">
        <v>0.6366861619821024</v>
      </c>
      <c r="E89" s="32" t="n">
        <v>0.7149515367196331</v>
      </c>
      <c r="F89" s="33" t="n">
        <v>1.047011073280915</v>
      </c>
    </row>
    <row r="90">
      <c r="A90" t="inlineStr">
        <is>
          <t>BLK</t>
        </is>
      </c>
      <c r="B90" s="11" t="n">
        <v>0.6829733709720287</v>
      </c>
      <c r="C90" s="6" t="n">
        <v>1.49494613587011</v>
      </c>
      <c r="D90" s="32" t="n">
        <v>-1.117765662730689</v>
      </c>
      <c r="E90" s="32" t="n">
        <v>-0.6739134815533177</v>
      </c>
      <c r="F90" s="32" t="n">
        <v>0.4568548354917917</v>
      </c>
    </row>
    <row r="93">
      <c r="A93" s="4" t="inlineStr">
        <is>
          <t>YEAR 2013.0</t>
        </is>
      </c>
    </row>
    <row r="94">
      <c r="A94" s="8" t="inlineStr">
        <is>
          <t>Security</t>
        </is>
      </c>
      <c r="B94" s="8" t="inlineStr">
        <is>
          <t>Annual Return %</t>
        </is>
      </c>
      <c r="C94" s="8" t="inlineStr">
        <is>
          <t>Max DD %</t>
        </is>
      </c>
      <c r="D94" s="8" t="inlineStr">
        <is>
          <t>Sharpe</t>
        </is>
      </c>
      <c r="E94" s="8" t="inlineStr">
        <is>
          <t>Sortino</t>
        </is>
      </c>
      <c r="F94" s="8" t="inlineStr">
        <is>
          <t>Calmar</t>
        </is>
      </c>
    </row>
    <row r="95">
      <c r="A95" t="inlineStr">
        <is>
          <t>AAPL</t>
        </is>
      </c>
      <c r="B95" s="11" t="n">
        <v>6.905850847167216</v>
      </c>
      <c r="C95" s="6" t="n">
        <v>3.735799953848315</v>
      </c>
      <c r="D95" s="32" t="n">
        <v>0.5530793386738697</v>
      </c>
      <c r="E95" s="32" t="n">
        <v>0.6294475134151359</v>
      </c>
      <c r="F95" s="33" t="n">
        <v>1.848560129686113</v>
      </c>
    </row>
    <row r="96">
      <c r="A96" t="inlineStr">
        <is>
          <t>DLY</t>
        </is>
      </c>
      <c r="B96" s="28" t="n">
        <v>-2.011855029004972</v>
      </c>
      <c r="C96" s="6" t="n">
        <v>7.026423717556112</v>
      </c>
      <c r="D96" s="32" t="n">
        <v>-0.6392854320748954</v>
      </c>
      <c r="E96" s="32" t="n">
        <v>-0.6685265512614672</v>
      </c>
      <c r="F96" s="32" t="n">
        <v>-0.2863270292080711</v>
      </c>
    </row>
    <row r="97">
      <c r="A97" t="inlineStr">
        <is>
          <t>BLK</t>
        </is>
      </c>
      <c r="B97" s="28" t="n">
        <v>-0.1856298221902586</v>
      </c>
      <c r="C97" s="6" t="n">
        <v>3.732284658605925</v>
      </c>
      <c r="D97" s="32" t="n">
        <v>-0.776186098170792</v>
      </c>
      <c r="E97" s="32" t="n">
        <v>-0.712640738235587</v>
      </c>
      <c r="F97" s="32" t="n">
        <v>-0.0497362444641601</v>
      </c>
    </row>
    <row r="100">
      <c r="A100" s="4" t="inlineStr">
        <is>
          <t>YEAR 2014.0</t>
        </is>
      </c>
    </row>
    <row r="101">
      <c r="A101" s="8" t="inlineStr">
        <is>
          <t>Security</t>
        </is>
      </c>
      <c r="B101" s="8" t="inlineStr">
        <is>
          <t>Annual Return %</t>
        </is>
      </c>
      <c r="C101" s="8" t="inlineStr">
        <is>
          <t>Max DD %</t>
        </is>
      </c>
      <c r="D101" s="8" t="inlineStr">
        <is>
          <t>Sharpe</t>
        </is>
      </c>
      <c r="E101" s="8" t="inlineStr">
        <is>
          <t>Sortino</t>
        </is>
      </c>
      <c r="F101" s="8" t="inlineStr">
        <is>
          <t>Calmar</t>
        </is>
      </c>
    </row>
    <row r="102">
      <c r="A102" t="inlineStr">
        <is>
          <t>AAPL</t>
        </is>
      </c>
      <c r="B102" s="11" t="n">
        <v>10.08335462826375</v>
      </c>
      <c r="C102" s="6" t="n">
        <v>4.152845496806057</v>
      </c>
      <c r="D102" s="32" t="n">
        <v>0.9089952149951971</v>
      </c>
      <c r="E102" s="32" t="n">
        <v>0.991583249189812</v>
      </c>
      <c r="F102" s="33" t="n">
        <v>2.428059179186617</v>
      </c>
    </row>
    <row r="103">
      <c r="A103" t="inlineStr">
        <is>
          <t>DLY</t>
        </is>
      </c>
      <c r="B103" s="11" t="n">
        <v>6.828155285510085</v>
      </c>
      <c r="C103" s="6" t="n">
        <v>3.250708526797033</v>
      </c>
      <c r="D103" s="32" t="n">
        <v>0.5366090212476867</v>
      </c>
      <c r="E103" s="32" t="n">
        <v>0.634929546613093</v>
      </c>
      <c r="F103" s="33" t="n">
        <v>2.1005129279425</v>
      </c>
    </row>
    <row r="104">
      <c r="A104" t="inlineStr">
        <is>
          <t>BLK</t>
        </is>
      </c>
      <c r="B104" s="28" t="n">
        <v>-1.971111966019712</v>
      </c>
      <c r="C104" s="6" t="n">
        <v>3.780834884514623</v>
      </c>
      <c r="D104" s="32" t="n">
        <v>-1.08091165461556</v>
      </c>
      <c r="E104" s="32" t="n">
        <v>-0.8509443304285155</v>
      </c>
      <c r="F104" s="32" t="n">
        <v>-0.5213430435941293</v>
      </c>
    </row>
    <row r="107">
      <c r="A107" s="4" t="inlineStr">
        <is>
          <t>YEAR 2015.0</t>
        </is>
      </c>
    </row>
    <row r="108">
      <c r="A108" s="8" t="inlineStr">
        <is>
          <t>Security</t>
        </is>
      </c>
      <c r="B108" s="8" t="inlineStr">
        <is>
          <t>Annual Return %</t>
        </is>
      </c>
      <c r="C108" s="8" t="inlineStr">
        <is>
          <t>Max DD %</t>
        </is>
      </c>
      <c r="D108" s="8" t="inlineStr">
        <is>
          <t>Sharpe</t>
        </is>
      </c>
      <c r="E108" s="8" t="inlineStr">
        <is>
          <t>Sortino</t>
        </is>
      </c>
      <c r="F108" s="8" t="inlineStr">
        <is>
          <t>Calmar</t>
        </is>
      </c>
    </row>
    <row r="109">
      <c r="A109" t="inlineStr">
        <is>
          <t>BLK</t>
        </is>
      </c>
      <c r="B109" s="28" t="n">
        <v>-0.5829760625880254</v>
      </c>
      <c r="C109" s="6" t="n">
        <v>4.138989864217534</v>
      </c>
      <c r="D109" s="32" t="n">
        <v>-0.797464502889857</v>
      </c>
      <c r="E109" s="32" t="n">
        <v>-0.5044474267230425</v>
      </c>
      <c r="F109" s="32" t="n">
        <v>-0.1408498405922614</v>
      </c>
    </row>
    <row r="110">
      <c r="A110" t="inlineStr">
        <is>
          <t>AAPL</t>
        </is>
      </c>
      <c r="B110" s="28" t="n">
        <v>-2.40038125069213</v>
      </c>
      <c r="C110" s="6" t="n">
        <v>6.5761689489721</v>
      </c>
      <c r="D110" s="32" t="n">
        <v>-1.16325688288114</v>
      </c>
      <c r="E110" s="32" t="n">
        <v>-0.9990079091990137</v>
      </c>
      <c r="F110" s="32" t="n">
        <v>-0.3650121019271145</v>
      </c>
    </row>
    <row r="111">
      <c r="A111" t="inlineStr">
        <is>
          <t>DLY</t>
        </is>
      </c>
      <c r="B111" s="28" t="n">
        <v>-3.458915145888242</v>
      </c>
      <c r="C111" s="6" t="n">
        <v>5.1027054568985</v>
      </c>
      <c r="D111" s="32" t="n">
        <v>-2.314468082999488</v>
      </c>
      <c r="E111" s="32" t="n">
        <v>-1.132326486371759</v>
      </c>
      <c r="F111" s="32" t="n">
        <v>-0.6778590641974114</v>
      </c>
    </row>
    <row r="114">
      <c r="A114" s="4" t="inlineStr">
        <is>
          <t>YEAR 2016.0</t>
        </is>
      </c>
    </row>
    <row r="115">
      <c r="A115" s="8" t="inlineStr">
        <is>
          <t>Security</t>
        </is>
      </c>
      <c r="B115" s="8" t="inlineStr">
        <is>
          <t>Annual Return %</t>
        </is>
      </c>
      <c r="C115" s="8" t="inlineStr">
        <is>
          <t>Max DD %</t>
        </is>
      </c>
      <c r="D115" s="8" t="inlineStr">
        <is>
          <t>Sharpe</t>
        </is>
      </c>
      <c r="E115" s="8" t="inlineStr">
        <is>
          <t>Sortino</t>
        </is>
      </c>
      <c r="F115" s="8" t="inlineStr">
        <is>
          <t>Calmar</t>
        </is>
      </c>
    </row>
    <row r="116">
      <c r="A116" t="inlineStr">
        <is>
          <t>AAPL</t>
        </is>
      </c>
      <c r="B116" s="11" t="n">
        <v>0.9649244871449358</v>
      </c>
      <c r="C116" s="6" t="n">
        <v>4.843250901037683</v>
      </c>
      <c r="D116" s="32" t="n">
        <v>-0.3809545173631184</v>
      </c>
      <c r="E116" s="32" t="n">
        <v>-0.452536120875932</v>
      </c>
      <c r="F116" s="32" t="n">
        <v>0.1992307453942139</v>
      </c>
    </row>
    <row r="117">
      <c r="A117" t="inlineStr">
        <is>
          <t>BLK</t>
        </is>
      </c>
      <c r="B117" s="11" t="n">
        <v>1.385762208369057</v>
      </c>
      <c r="C117" s="6" t="n">
        <v>2.068560392997782</v>
      </c>
      <c r="D117" s="32" t="n">
        <v>-0.6186257702356333</v>
      </c>
      <c r="E117" s="32" t="n">
        <v>-0.5549500952849428</v>
      </c>
      <c r="F117" s="12" t="n">
        <v>0.6699162437122729</v>
      </c>
    </row>
    <row r="118">
      <c r="A118" t="inlineStr">
        <is>
          <t>DLY</t>
        </is>
      </c>
      <c r="B118" s="28" t="n">
        <v>-2.773709183409834</v>
      </c>
      <c r="C118" s="6" t="n">
        <v>3.835315270954018</v>
      </c>
      <c r="D118" s="32" t="n">
        <v>-1.660062396149217</v>
      </c>
      <c r="E118" s="32" t="n">
        <v>-1.185765415726257</v>
      </c>
      <c r="F118" s="32" t="n">
        <v>-0.7232023934032118</v>
      </c>
    </row>
    <row r="121">
      <c r="A121" s="4" t="inlineStr">
        <is>
          <t>YEAR 2017.0</t>
        </is>
      </c>
    </row>
    <row r="122">
      <c r="A122" s="8" t="inlineStr">
        <is>
          <t>Security</t>
        </is>
      </c>
      <c r="B122" s="8" t="inlineStr">
        <is>
          <t>Annual Return %</t>
        </is>
      </c>
      <c r="C122" s="8" t="inlineStr">
        <is>
          <t>Max DD %</t>
        </is>
      </c>
      <c r="D122" s="8" t="inlineStr">
        <is>
          <t>Sharpe</t>
        </is>
      </c>
      <c r="E122" s="8" t="inlineStr">
        <is>
          <t>Sortino</t>
        </is>
      </c>
      <c r="F122" s="8" t="inlineStr">
        <is>
          <t>Calmar</t>
        </is>
      </c>
    </row>
    <row r="123">
      <c r="A123" t="inlineStr">
        <is>
          <t>AAPL</t>
        </is>
      </c>
      <c r="B123" s="11" t="n">
        <v>14.70900515880733</v>
      </c>
      <c r="C123" s="6" t="n">
        <v>4.20157715461717</v>
      </c>
      <c r="D123" s="12" t="n">
        <v>1.190799462381516</v>
      </c>
      <c r="E123" s="12" t="n">
        <v>1.518469849734796</v>
      </c>
      <c r="F123" s="33" t="n">
        <v>3.500829478436069</v>
      </c>
    </row>
    <row r="124">
      <c r="A124" t="inlineStr">
        <is>
          <t>BLK</t>
        </is>
      </c>
      <c r="B124" s="11" t="n">
        <v>11.27088354764938</v>
      </c>
      <c r="C124" s="6" t="n">
        <v>6.657953845360722</v>
      </c>
      <c r="D124" s="12" t="n">
        <v>1.045348341761968</v>
      </c>
      <c r="E124" s="12" t="n">
        <v>1.37112767650497</v>
      </c>
      <c r="F124" s="33" t="n">
        <v>1.692844950480238</v>
      </c>
    </row>
    <row r="125">
      <c r="A125" t="inlineStr">
        <is>
          <t>DLY</t>
        </is>
      </c>
      <c r="B125" s="28" t="n">
        <v>-1.890973592816525</v>
      </c>
      <c r="C125" s="6" t="n">
        <v>4.725706404938055</v>
      </c>
      <c r="D125" s="32" t="n">
        <v>-0.732209380098638</v>
      </c>
      <c r="E125" s="32" t="n">
        <v>-0.8146966500306209</v>
      </c>
      <c r="F125" s="32" t="n">
        <v>-0.4001462280518698</v>
      </c>
    </row>
    <row r="128">
      <c r="A128" s="4" t="inlineStr">
        <is>
          <t>YEAR 2018.0</t>
        </is>
      </c>
    </row>
    <row r="129">
      <c r="A129" s="8" t="inlineStr">
        <is>
          <t>Security</t>
        </is>
      </c>
      <c r="B129" s="8" t="inlineStr">
        <is>
          <t>Annual Return %</t>
        </is>
      </c>
      <c r="C129" s="8" t="inlineStr">
        <is>
          <t>Max DD %</t>
        </is>
      </c>
      <c r="D129" s="8" t="inlineStr">
        <is>
          <t>Sharpe</t>
        </is>
      </c>
      <c r="E129" s="8" t="inlineStr">
        <is>
          <t>Sortino</t>
        </is>
      </c>
      <c r="F129" s="8" t="inlineStr">
        <is>
          <t>Calmar</t>
        </is>
      </c>
    </row>
    <row r="130">
      <c r="A130" t="inlineStr">
        <is>
          <t>AAPL</t>
        </is>
      </c>
      <c r="B130" s="11" t="n">
        <v>9.58999636300797</v>
      </c>
      <c r="C130" s="6" t="n">
        <v>5.973876872843773</v>
      </c>
      <c r="D130" s="32" t="n">
        <v>0.719008479781822</v>
      </c>
      <c r="E130" s="32" t="n">
        <v>0.8335556677523014</v>
      </c>
      <c r="F130" s="33" t="n">
        <v>1.605322065910407</v>
      </c>
    </row>
    <row r="131">
      <c r="A131" t="inlineStr">
        <is>
          <t>BLK</t>
        </is>
      </c>
      <c r="B131" s="11" t="n">
        <v>5.940800978507332</v>
      </c>
      <c r="C131" s="6" t="n">
        <v>10.09013066292366</v>
      </c>
      <c r="D131" s="32" t="n">
        <v>0.3274508793569598</v>
      </c>
      <c r="E131" s="32" t="n">
        <v>0.2295574080659939</v>
      </c>
      <c r="F131" s="12" t="n">
        <v>0.5887734437708417</v>
      </c>
    </row>
    <row r="132">
      <c r="A132" t="inlineStr">
        <is>
          <t>DLY</t>
        </is>
      </c>
      <c r="B132" s="28" t="n">
        <v>-4.444985002167812</v>
      </c>
      <c r="C132" s="6" t="n">
        <v>8.899998695191918</v>
      </c>
      <c r="D132" s="32" t="n">
        <v>-1.543516828266882</v>
      </c>
      <c r="E132" s="32" t="n">
        <v>-1.021459726237784</v>
      </c>
      <c r="F132" s="32" t="n">
        <v>-0.4994365903187316</v>
      </c>
    </row>
    <row r="135">
      <c r="A135" s="4" t="inlineStr">
        <is>
          <t>YEAR 2019.0</t>
        </is>
      </c>
    </row>
    <row r="136">
      <c r="A136" s="8" t="inlineStr">
        <is>
          <t>Security</t>
        </is>
      </c>
      <c r="B136" s="8" t="inlineStr">
        <is>
          <t>Annual Return %</t>
        </is>
      </c>
      <c r="C136" s="8" t="inlineStr">
        <is>
          <t>Max DD %</t>
        </is>
      </c>
      <c r="D136" s="8" t="inlineStr">
        <is>
          <t>Sharpe</t>
        </is>
      </c>
      <c r="E136" s="8" t="inlineStr">
        <is>
          <t>Sortino</t>
        </is>
      </c>
      <c r="F136" s="8" t="inlineStr">
        <is>
          <t>Calmar</t>
        </is>
      </c>
    </row>
    <row r="137">
      <c r="A137" t="inlineStr">
        <is>
          <t>AAPL</t>
        </is>
      </c>
      <c r="B137" s="11" t="n">
        <v>16.79035171859285</v>
      </c>
      <c r="C137" s="6" t="n">
        <v>5.548112341854248</v>
      </c>
      <c r="D137" s="12" t="n">
        <v>1.872468976259327</v>
      </c>
      <c r="E137" s="33" t="n">
        <v>2.149091470635851</v>
      </c>
      <c r="F137" s="33" t="n">
        <v>3.02631790490769</v>
      </c>
    </row>
    <row r="138">
      <c r="A138" t="inlineStr">
        <is>
          <t>BLK</t>
        </is>
      </c>
      <c r="B138" s="11" t="n">
        <v>4.773767118192751</v>
      </c>
      <c r="C138" s="6" t="n">
        <v>5.399243461631239</v>
      </c>
      <c r="D138" s="32" t="n">
        <v>0.240748466518474</v>
      </c>
      <c r="E138" s="32" t="n">
        <v>0.2134177481939568</v>
      </c>
      <c r="F138" s="12" t="n">
        <v>0.8841548176363366</v>
      </c>
    </row>
    <row r="139">
      <c r="A139" t="inlineStr">
        <is>
          <t>DLY</t>
        </is>
      </c>
      <c r="B139" s="28" t="n">
        <v>-1.362047592854454</v>
      </c>
      <c r="C139" s="6" t="n">
        <v>7.183196451963456</v>
      </c>
      <c r="D139" s="32" t="n">
        <v>-0.854064318435807</v>
      </c>
      <c r="E139" s="32" t="n">
        <v>-0.4834952659813587</v>
      </c>
      <c r="F139" s="32" t="n">
        <v>-0.1896158071080113</v>
      </c>
    </row>
    <row r="142">
      <c r="A142" s="4" t="inlineStr">
        <is>
          <t>YEAR 2020.0</t>
        </is>
      </c>
    </row>
    <row r="143">
      <c r="A143" s="8" t="inlineStr">
        <is>
          <t>Security</t>
        </is>
      </c>
      <c r="B143" s="8" t="inlineStr">
        <is>
          <t>Annual Return %</t>
        </is>
      </c>
      <c r="C143" s="8" t="inlineStr">
        <is>
          <t>Max DD %</t>
        </is>
      </c>
      <c r="D143" s="8" t="inlineStr">
        <is>
          <t>Sharpe</t>
        </is>
      </c>
      <c r="E143" s="8" t="inlineStr">
        <is>
          <t>Sortino</t>
        </is>
      </c>
      <c r="F143" s="8" t="inlineStr">
        <is>
          <t>Calmar</t>
        </is>
      </c>
    </row>
    <row r="144">
      <c r="A144" t="inlineStr">
        <is>
          <t>AAPL</t>
        </is>
      </c>
      <c r="B144" s="11" t="n">
        <v>8.833146665235535</v>
      </c>
      <c r="C144" s="6" t="n">
        <v>6.018811162826069</v>
      </c>
      <c r="D144" s="32" t="n">
        <v>0.6328873932185676</v>
      </c>
      <c r="E144" s="32" t="n">
        <v>0.6396968051364822</v>
      </c>
      <c r="F144" s="33" t="n">
        <v>1.467589932010431</v>
      </c>
    </row>
    <row r="145">
      <c r="A145" t="inlineStr">
        <is>
          <t>BLK</t>
        </is>
      </c>
      <c r="B145" s="11" t="n">
        <v>6.987604692504235</v>
      </c>
      <c r="C145" s="6" t="n">
        <v>3.987424300065382</v>
      </c>
      <c r="D145" s="32" t="n">
        <v>0.5012397616727218</v>
      </c>
      <c r="E145" s="32" t="n">
        <v>0.4453285470717725</v>
      </c>
      <c r="F145" s="33" t="n">
        <v>1.752410620657967</v>
      </c>
    </row>
    <row r="146">
      <c r="A146" t="inlineStr">
        <is>
          <t>DLY</t>
        </is>
      </c>
      <c r="B146" s="28" t="n">
        <v>-2.597920334547232</v>
      </c>
      <c r="C146" s="6" t="n">
        <v>6.371112245260709</v>
      </c>
      <c r="D146" s="32" t="n">
        <v>-0.6940142559674132</v>
      </c>
      <c r="E146" s="32" t="n">
        <v>-0.6633329477838119</v>
      </c>
      <c r="F146" s="32" t="n">
        <v>-0.407765588572035</v>
      </c>
    </row>
    <row r="149">
      <c r="A149" s="4" t="inlineStr">
        <is>
          <t>YEAR 2021.0</t>
        </is>
      </c>
    </row>
    <row r="150">
      <c r="A150" s="8" t="inlineStr">
        <is>
          <t>Security</t>
        </is>
      </c>
      <c r="B150" s="8" t="inlineStr">
        <is>
          <t>Annual Return %</t>
        </is>
      </c>
      <c r="C150" s="8" t="inlineStr">
        <is>
          <t>Max DD %</t>
        </is>
      </c>
      <c r="D150" s="8" t="inlineStr">
        <is>
          <t>Sharpe</t>
        </is>
      </c>
      <c r="E150" s="8" t="inlineStr">
        <is>
          <t>Sortino</t>
        </is>
      </c>
      <c r="F150" s="8" t="inlineStr">
        <is>
          <t>Calmar</t>
        </is>
      </c>
    </row>
    <row r="151">
      <c r="A151" t="inlineStr">
        <is>
          <t>AAPL</t>
        </is>
      </c>
      <c r="B151" s="11" t="n">
        <v>14.5992524068558</v>
      </c>
      <c r="C151" s="6" t="n">
        <v>3.740020715783834</v>
      </c>
      <c r="D151" s="12" t="n">
        <v>1.287263219234941</v>
      </c>
      <c r="E151" s="12" t="n">
        <v>1.623246173625887</v>
      </c>
      <c r="F151" s="33" t="n">
        <v>3.903521802765225</v>
      </c>
    </row>
    <row r="152">
      <c r="A152" t="inlineStr">
        <is>
          <t>BLK</t>
        </is>
      </c>
      <c r="B152" s="11" t="n">
        <v>3.906032922487213</v>
      </c>
      <c r="C152" s="6" t="n">
        <v>4.824066698164489</v>
      </c>
      <c r="D152" s="32" t="n">
        <v>0.09356424799325674</v>
      </c>
      <c r="E152" s="32" t="n">
        <v>0.1001837650030257</v>
      </c>
      <c r="F152" s="12" t="n">
        <v>0.8096971221341986</v>
      </c>
    </row>
    <row r="153">
      <c r="A153" t="inlineStr">
        <is>
          <t>DLY</t>
        </is>
      </c>
      <c r="B153" s="28" t="n">
        <v>-1.333761586308901</v>
      </c>
      <c r="C153" s="6" t="n">
        <v>6.749729893111654</v>
      </c>
      <c r="D153" s="32" t="n">
        <v>-0.697992047552487</v>
      </c>
      <c r="E153" s="32" t="n">
        <v>-0.5091375756745009</v>
      </c>
      <c r="F153" s="32" t="n">
        <v>-0.1976022163005447</v>
      </c>
    </row>
    <row r="156">
      <c r="A156" s="4" t="inlineStr">
        <is>
          <t>YEAR 2022.0</t>
        </is>
      </c>
    </row>
    <row r="157">
      <c r="A157" s="8" t="inlineStr">
        <is>
          <t>Security</t>
        </is>
      </c>
      <c r="B157" s="8" t="inlineStr">
        <is>
          <t>Annual Return %</t>
        </is>
      </c>
      <c r="C157" s="8" t="inlineStr">
        <is>
          <t>Max DD %</t>
        </is>
      </c>
      <c r="D157" s="8" t="inlineStr">
        <is>
          <t>Sharpe</t>
        </is>
      </c>
      <c r="E157" s="8" t="inlineStr">
        <is>
          <t>Sortino</t>
        </is>
      </c>
      <c r="F157" s="8" t="inlineStr">
        <is>
          <t>Calmar</t>
        </is>
      </c>
    </row>
    <row r="158">
      <c r="A158" t="inlineStr">
        <is>
          <t>DLY</t>
        </is>
      </c>
      <c r="B158" s="11" t="n">
        <v>6.147208891585798</v>
      </c>
      <c r="C158" s="6" t="n">
        <v>10.35059434203569</v>
      </c>
      <c r="D158" s="32" t="n">
        <v>0.3334225199407899</v>
      </c>
      <c r="E158" s="32" t="n">
        <v>0.4469124071622238</v>
      </c>
      <c r="F158" s="12" t="n">
        <v>0.593899121968372</v>
      </c>
    </row>
    <row r="159">
      <c r="A159" t="inlineStr">
        <is>
          <t>BLK</t>
        </is>
      </c>
      <c r="B159" s="11" t="n">
        <v>2.608438940376723</v>
      </c>
      <c r="C159" s="6" t="n">
        <v>4.603543807527253</v>
      </c>
      <c r="D159" s="32" t="n">
        <v>-0.1120087989608077</v>
      </c>
      <c r="E159" s="32" t="n">
        <v>-0.113408283295018</v>
      </c>
      <c r="F159" s="12" t="n">
        <v>0.5666154270350735</v>
      </c>
    </row>
    <row r="160">
      <c r="A160" t="inlineStr">
        <is>
          <t>AAPL</t>
        </is>
      </c>
      <c r="B160" s="28" t="n">
        <v>-8.336249676009855</v>
      </c>
      <c r="C160" s="6" t="n">
        <v>12.16067584881336</v>
      </c>
      <c r="D160" s="32" t="n">
        <v>-1.875019806287157</v>
      </c>
      <c r="E160" s="32" t="n">
        <v>-1.778275206344384</v>
      </c>
      <c r="F160" s="32" t="n">
        <v>-0.6855087480046028</v>
      </c>
    </row>
    <row r="163">
      <c r="A163" s="4" t="inlineStr">
        <is>
          <t>YEAR 2023.0</t>
        </is>
      </c>
    </row>
    <row r="164">
      <c r="A164" s="8" t="inlineStr">
        <is>
          <t>Security</t>
        </is>
      </c>
      <c r="B164" s="8" t="inlineStr">
        <is>
          <t>Annual Return %</t>
        </is>
      </c>
      <c r="C164" s="8" t="inlineStr">
        <is>
          <t>Max DD %</t>
        </is>
      </c>
      <c r="D164" s="8" t="inlineStr">
        <is>
          <t>Sharpe</t>
        </is>
      </c>
      <c r="E164" s="8" t="inlineStr">
        <is>
          <t>Sortino</t>
        </is>
      </c>
      <c r="F164" s="8" t="inlineStr">
        <is>
          <t>Calmar</t>
        </is>
      </c>
    </row>
    <row r="165">
      <c r="A165" t="inlineStr">
        <is>
          <t>AAPL</t>
        </is>
      </c>
      <c r="B165" s="11" t="n">
        <v>8.158821395476789</v>
      </c>
      <c r="C165" s="6" t="n">
        <v>5.299385104348065</v>
      </c>
      <c r="D165" s="32" t="n">
        <v>0.7985830881829589</v>
      </c>
      <c r="E165" s="32" t="n">
        <v>0.9655772029370786</v>
      </c>
      <c r="F165" s="33" t="n">
        <v>1.53957888223345</v>
      </c>
    </row>
    <row r="166">
      <c r="A166" t="inlineStr">
        <is>
          <t>BLK</t>
        </is>
      </c>
      <c r="B166" s="11" t="n">
        <v>6.784400428560566</v>
      </c>
      <c r="C166" s="6" t="n">
        <v>6.261601134337734</v>
      </c>
      <c r="D166" s="32" t="n">
        <v>0.5200658026593159</v>
      </c>
      <c r="E166" s="32" t="n">
        <v>0.6805157594049204</v>
      </c>
      <c r="F166" s="33" t="n">
        <v>1.08349290908293</v>
      </c>
    </row>
    <row r="167">
      <c r="A167" t="inlineStr">
        <is>
          <t>DLY</t>
        </is>
      </c>
      <c r="B167" s="28" t="n">
        <v>-0.5740529854733611</v>
      </c>
      <c r="C167" s="6" t="n">
        <v>4.933921562578695</v>
      </c>
      <c r="D167" s="32" t="n">
        <v>-0.5213097875315735</v>
      </c>
      <c r="E167" s="32" t="n">
        <v>-0.5238728770225688</v>
      </c>
      <c r="F167" s="32" t="n">
        <v>-0.1163482187935989</v>
      </c>
    </row>
    <row r="170">
      <c r="A170" s="4" t="inlineStr">
        <is>
          <t>YEAR 2024.0</t>
        </is>
      </c>
    </row>
    <row r="171">
      <c r="A171" s="8" t="inlineStr">
        <is>
          <t>Security</t>
        </is>
      </c>
      <c r="B171" s="8" t="inlineStr">
        <is>
          <t>Annual Return %</t>
        </is>
      </c>
      <c r="C171" s="8" t="inlineStr">
        <is>
          <t>Max DD %</t>
        </is>
      </c>
      <c r="D171" s="8" t="inlineStr">
        <is>
          <t>Sharpe</t>
        </is>
      </c>
      <c r="E171" s="8" t="inlineStr">
        <is>
          <t>Sortino</t>
        </is>
      </c>
      <c r="F171" s="8" t="inlineStr">
        <is>
          <t>Calmar</t>
        </is>
      </c>
    </row>
    <row r="172">
      <c r="A172" t="inlineStr">
        <is>
          <t>BLK</t>
        </is>
      </c>
      <c r="B172" s="11" t="n">
        <v>11.74465309804535</v>
      </c>
      <c r="C172" s="6" t="n">
        <v>6.858095636547643</v>
      </c>
      <c r="D172" s="32" t="n">
        <v>0.9134642939366371</v>
      </c>
      <c r="E172" s="12" t="n">
        <v>1.420553261979502</v>
      </c>
      <c r="F172" s="33" t="n">
        <v>1.712523960070875</v>
      </c>
    </row>
    <row r="173">
      <c r="A173" t="inlineStr">
        <is>
          <t>AAPL</t>
        </is>
      </c>
      <c r="B173" s="11" t="n">
        <v>6.783954753693333</v>
      </c>
      <c r="C173" s="6" t="n">
        <v>7.954349494390837</v>
      </c>
      <c r="D173" s="32" t="n">
        <v>0.4323166449403317</v>
      </c>
      <c r="E173" s="32" t="n">
        <v>0.4857647278968292</v>
      </c>
      <c r="F173" s="12" t="n">
        <v>0.8528610364024324</v>
      </c>
    </row>
    <row r="174">
      <c r="A174" t="inlineStr">
        <is>
          <t>DLY</t>
        </is>
      </c>
      <c r="B174" s="28" t="n">
        <v>-1.942495683870693</v>
      </c>
      <c r="C174" s="6" t="n">
        <v>11.25218075104807</v>
      </c>
      <c r="D174" s="32" t="n">
        <v>-0.6053413449153775</v>
      </c>
      <c r="E174" s="32" t="n">
        <v>-0.8094301059002965</v>
      </c>
      <c r="F174" s="32" t="n">
        <v>-0.1726328190817376</v>
      </c>
    </row>
    <row r="177">
      <c r="A177" s="4" t="inlineStr">
        <is>
          <t>YEAR 2025.0</t>
        </is>
      </c>
    </row>
    <row r="178">
      <c r="A178" s="8" t="inlineStr">
        <is>
          <t>Security</t>
        </is>
      </c>
      <c r="B178" s="8" t="inlineStr">
        <is>
          <t>Annual Return %</t>
        </is>
      </c>
      <c r="C178" s="8" t="inlineStr">
        <is>
          <t>Max DD %</t>
        </is>
      </c>
      <c r="D178" s="8" t="inlineStr">
        <is>
          <t>Sharpe</t>
        </is>
      </c>
      <c r="E178" s="8" t="inlineStr">
        <is>
          <t>Sortino</t>
        </is>
      </c>
      <c r="F178" s="8" t="inlineStr">
        <is>
          <t>Calmar</t>
        </is>
      </c>
    </row>
    <row r="179">
      <c r="A179" t="inlineStr">
        <is>
          <t>DLY</t>
        </is>
      </c>
      <c r="B179" s="11" t="n">
        <v>12.06486104966236</v>
      </c>
      <c r="C179" s="6" t="n">
        <v>4.493354058862993</v>
      </c>
      <c r="D179" s="32" t="n">
        <v>0.9343636917815362</v>
      </c>
      <c r="E179" s="12" t="n">
        <v>1.263625917011898</v>
      </c>
      <c r="F179" s="33" t="n">
        <v>2.685045712314794</v>
      </c>
    </row>
    <row r="180">
      <c r="A180" t="inlineStr">
        <is>
          <t>AAPL</t>
        </is>
      </c>
      <c r="B180" s="11" t="n">
        <v>2.565360309373488</v>
      </c>
      <c r="C180" s="6" t="n">
        <v>5.999706911959758</v>
      </c>
      <c r="D180" s="32" t="n">
        <v>-0.06029894436306339</v>
      </c>
      <c r="E180" s="32" t="n">
        <v>-0.05131236426660499</v>
      </c>
      <c r="F180" s="32" t="n">
        <v>0.4275809380387771</v>
      </c>
    </row>
    <row r="181">
      <c r="A181" t="inlineStr">
        <is>
          <t>BLK</t>
        </is>
      </c>
      <c r="B181" s="28" t="n">
        <v>-1.947982463978604</v>
      </c>
      <c r="C181" s="6" t="n">
        <v>7.510377894198227</v>
      </c>
      <c r="D181" s="32" t="n">
        <v>-0.8197016935757204</v>
      </c>
      <c r="E181" s="32" t="n">
        <v>-0.5677883118592274</v>
      </c>
      <c r="F181" s="32" t="n">
        <v>-0.2593720970396738</v>
      </c>
    </row>
    <row r="184">
      <c r="A184" s="4" t="inlineStr">
        <is>
          <t>SUMMARY - AVERAGE RATIOS BY SECURITY (All Years)</t>
        </is>
      </c>
    </row>
    <row r="185">
      <c r="A185" s="27" t="inlineStr">
        <is>
          <t>Security</t>
        </is>
      </c>
      <c r="B185" s="27" t="inlineStr">
        <is>
          <t>Avg Sharpe</t>
        </is>
      </c>
      <c r="C185" s="27" t="inlineStr">
        <is>
          <t>Avg Sortino</t>
        </is>
      </c>
      <c r="D185" s="27" t="inlineStr">
        <is>
          <t>Avg Calmar</t>
        </is>
      </c>
      <c r="E185" s="27" t="inlineStr">
        <is>
          <t>Best Year</t>
        </is>
      </c>
      <c r="F185" s="27" t="inlineStr">
        <is>
          <t>Worst Year</t>
        </is>
      </c>
    </row>
    <row r="186">
      <c r="A186" t="inlineStr">
        <is>
          <t>AAPL</t>
        </is>
      </c>
      <c r="B186" s="12" t="n">
        <v>0.1240077371938934</v>
      </c>
      <c r="C186" s="12" t="n">
        <v>0.4106675543114582</v>
      </c>
      <c r="D186" s="12" t="n">
        <v>1.418980422471241</v>
      </c>
      <c r="E186" t="inlineStr">
        <is>
          <t>2009</t>
        </is>
      </c>
      <c r="F186" t="inlineStr">
        <is>
          <t>2022</t>
        </is>
      </c>
    </row>
    <row r="187">
      <c r="A187" t="inlineStr">
        <is>
          <t>BLK</t>
        </is>
      </c>
      <c r="B187" s="12" t="n">
        <v>-0.164718657223408</v>
      </c>
      <c r="C187" s="12" t="n">
        <v>0.02379011088001389</v>
      </c>
      <c r="D187" s="12" t="n">
        <v>0.8392032216733158</v>
      </c>
      <c r="E187" t="inlineStr">
        <is>
          <t>2024</t>
        </is>
      </c>
      <c r="F187" t="inlineStr">
        <is>
          <t>2002</t>
        </is>
      </c>
    </row>
    <row r="188">
      <c r="A188" t="inlineStr">
        <is>
          <t>DLY</t>
        </is>
      </c>
      <c r="B188" s="12" t="n">
        <v>-0.7516967477975796</v>
      </c>
      <c r="C188" s="12" t="n">
        <v>-0.414136021312613</v>
      </c>
      <c r="D188" s="12" t="n">
        <v>0.2558199362767706</v>
      </c>
      <c r="E188" t="inlineStr">
        <is>
          <t>2009</t>
        </is>
      </c>
      <c r="F188" t="inlineStr">
        <is>
          <t>2011</t>
        </is>
      </c>
    </row>
  </sheetData>
  <mergeCells count="28">
    <mergeCell ref="A23:D23"/>
    <mergeCell ref="A135:D135"/>
    <mergeCell ref="A184:D184"/>
    <mergeCell ref="A100:D100"/>
    <mergeCell ref="A72:D72"/>
    <mergeCell ref="A156:D156"/>
    <mergeCell ref="A170:D170"/>
    <mergeCell ref="A121:D121"/>
    <mergeCell ref="A93:D93"/>
    <mergeCell ref="A44:D44"/>
    <mergeCell ref="A9:D9"/>
    <mergeCell ref="A58:D58"/>
    <mergeCell ref="A114:D114"/>
    <mergeCell ref="A30:D30"/>
    <mergeCell ref="A142:D142"/>
    <mergeCell ref="A51:D51"/>
    <mergeCell ref="A107:D107"/>
    <mergeCell ref="A79:D79"/>
    <mergeCell ref="A1:G1"/>
    <mergeCell ref="A65:D65"/>
    <mergeCell ref="A128:D128"/>
    <mergeCell ref="A16:D16"/>
    <mergeCell ref="A177:D177"/>
    <mergeCell ref="A37:D37"/>
    <mergeCell ref="A149:D149"/>
    <mergeCell ref="A163:D163"/>
    <mergeCell ref="A3:D3"/>
    <mergeCell ref="A86:D8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34" t="inlineStr">
        <is>
          <t>COMPARATIVE VISUALIZATIONS</t>
        </is>
      </c>
    </row>
    <row r="4">
      <c r="A4" s="35" t="inlineStr">
        <is>
          <t>Symbol</t>
        </is>
      </c>
      <c r="B4" s="35" t="inlineStr">
        <is>
          <t>Total Return %</t>
        </is>
      </c>
      <c r="C4" s="35" t="inlineStr">
        <is>
          <t>Sharpe Ratio</t>
        </is>
      </c>
      <c r="D4" s="35" t="inlineStr">
        <is>
          <t>Max Drawdown %</t>
        </is>
      </c>
      <c r="E4" s="35" t="inlineStr">
        <is>
          <t>Win Rate %</t>
        </is>
      </c>
    </row>
    <row r="5">
      <c r="A5" t="inlineStr">
        <is>
          <t>AAPL</t>
        </is>
      </c>
      <c r="B5" t="n">
        <v>344.2924096725308</v>
      </c>
      <c r="C5" t="n">
        <v>0.5684996809428412</v>
      </c>
      <c r="D5" t="n">
        <v>12.18919979058913</v>
      </c>
      <c r="E5" t="n">
        <v>46.91358024691358</v>
      </c>
    </row>
    <row r="6">
      <c r="A6" t="inlineStr">
        <is>
          <t>BLK</t>
        </is>
      </c>
      <c r="B6" t="n">
        <v>122.2191427907722</v>
      </c>
      <c r="C6" t="n">
        <v>0.2004072985752582</v>
      </c>
      <c r="D6" t="n">
        <v>15.78172439066217</v>
      </c>
      <c r="E6" t="n">
        <v>47.22222222222222</v>
      </c>
    </row>
    <row r="7">
      <c r="A7" t="inlineStr">
        <is>
          <t>DLY</t>
        </is>
      </c>
      <c r="B7" t="n">
        <v>18.6552378606883</v>
      </c>
      <c r="C7" t="n">
        <v>-0.1713226698546749</v>
      </c>
      <c r="D7" t="n">
        <v>20.16355695499814</v>
      </c>
      <c r="E7" t="n">
        <v>34.66666666666667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2025-12-01T15:02:09Z</dcterms:created>
  <dcterms:modified xmlns:dcterms="http://purl.org/dc/terms/" xmlns:xsi="http://www.w3.org/2001/XMLSchema-instance" xsi:type="dcterms:W3CDTF">2025-12-01T15:02:09Z</dcterms:modified>
</cp:coreProperties>
</file>