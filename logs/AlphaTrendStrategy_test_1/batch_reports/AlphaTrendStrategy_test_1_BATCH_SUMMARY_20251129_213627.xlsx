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Performance Comparison" sheetId="2" state="visible" r:id="rId2"/>
    <sheet xmlns:r="http://schemas.openxmlformats.org/officeDocument/2006/relationships" name="Correlation Analysis" sheetId="3" state="visible" r:id="rId3"/>
    <sheet xmlns:r="http://schemas.openxmlformats.org/officeDocument/2006/relationships" name="Risk Analysis" sheetId="4" state="visible" r:id="rId4"/>
    <sheet xmlns:r="http://schemas.openxmlformats.org/officeDocument/2006/relationships" name="Visualiz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0.0&quot;%&quot;"/>
    <numFmt numFmtId="167" formatCode="0.0"/>
  </numFmts>
  <fonts count="12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  <color rgb="00FFFFFF"/>
      <sz val="11"/>
    </font>
    <font>
      <color rgb="0000B050"/>
    </font>
    <font>
      <b val="1"/>
      <sz val="14"/>
    </font>
    <font>
      <b val="1"/>
    </font>
    <font>
      <b val="1"/>
      <sz val="10"/>
    </font>
    <font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3" borderId="0" applyAlignment="1" pivotButton="0" quotePrefix="0" xfId="0">
      <alignment horizontal="center"/>
    </xf>
    <xf numFmtId="166" fontId="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2" fontId="0" fillId="0" borderId="0" pivotButton="0" quotePrefix="0" xfId="0"/>
    <xf numFmtId="0" fontId="7" fillId="0" borderId="0" applyAlignment="1" pivotButton="0" quotePrefix="0" xfId="0">
      <alignment horizontal="center"/>
    </xf>
    <xf numFmtId="167" fontId="0" fillId="0" borderId="0" pivotButton="0" quotePrefix="0" xfId="0"/>
    <xf numFmtId="1" fontId="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2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3" borderId="0" pivotButton="0" quotePrefix="0" xfId="0"/>
    <xf numFmtId="2" fontId="0" fillId="4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Return %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'Visualizations'!$A$5:$A$12</f>
            </numRef>
          </cat>
          <val>
            <numRef>
              <f>'Visualizations'!$B$5:$B$12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Security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Sharpe Ratio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'Visualizations'!$A$5:$A$12</f>
            </numRef>
          </cat>
          <val>
            <numRef>
              <f>'Visualizations'!$C$5:$C$12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Security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Risk-Return Profile</a:t>
            </a:r>
          </a:p>
        </rich>
      </tx>
    </title>
    <plotArea>
      <scatterChart>
        <ser>'Visualizations'!$B$5:$B$12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45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5" customWidth="1" min="4" max="4"/>
    <col width="12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BATCH BACKTEST SUMMARY</t>
        </is>
      </c>
    </row>
    <row r="2">
      <c r="A2" s="2" t="inlineStr">
        <is>
          <t>AlphaTrendStrategy_test_1</t>
        </is>
      </c>
    </row>
    <row r="4">
      <c r="A4" t="inlineStr">
        <is>
          <t>Securities Tested:</t>
        </is>
      </c>
      <c r="B4" t="n">
        <v>8</v>
      </c>
    </row>
    <row r="5">
      <c r="A5" t="inlineStr">
        <is>
          <t>Total Trades:</t>
        </is>
      </c>
      <c r="B5" t="n">
        <v>624</v>
      </c>
    </row>
    <row r="6">
      <c r="A6" t="inlineStr">
        <is>
          <t>Initial Capital per Security:</t>
        </is>
      </c>
      <c r="B6" s="3" t="n">
        <v>16000</v>
      </c>
    </row>
    <row r="8">
      <c r="A8" s="4" t="inlineStr">
        <is>
          <t>AGGREGATE PERFORMANCE</t>
        </is>
      </c>
    </row>
    <row r="9">
      <c r="A9" s="5" t="inlineStr">
        <is>
          <t>Total P/L (All Securities)</t>
        </is>
      </c>
      <c r="B9" s="3" t="n">
        <v>344827.9554236447</v>
      </c>
    </row>
    <row r="10">
      <c r="A10" s="5" t="inlineStr">
        <is>
          <t>Average P/L per Security</t>
        </is>
      </c>
      <c r="B10" s="3" t="n">
        <v>43103.49442795559</v>
      </c>
    </row>
    <row r="11">
      <c r="A11" s="5" t="inlineStr">
        <is>
          <t>Average Return %</t>
        </is>
      </c>
      <c r="B11" s="6" t="n">
        <v>269.3968401747225</v>
      </c>
    </row>
    <row r="12">
      <c r="A12" s="5" t="inlineStr">
        <is>
          <t>Profitable Securities</t>
        </is>
      </c>
      <c r="B12" s="7" t="n">
        <v>8</v>
      </c>
    </row>
    <row r="13">
      <c r="A13" s="5" t="inlineStr">
        <is>
          <t>% Profitable</t>
        </is>
      </c>
      <c r="B13" s="6" t="n">
        <v>100</v>
      </c>
    </row>
    <row r="14">
      <c r="A14" s="5" t="inlineStr">
        <is>
          <t>Aggregate Win Rate</t>
        </is>
      </c>
      <c r="B14" s="6" t="n">
        <v>41.98717948717949</v>
      </c>
    </row>
    <row r="16">
      <c r="A16" s="4" t="inlineStr">
        <is>
          <t>BEST &amp; WORST PERFORMERS</t>
        </is>
      </c>
    </row>
    <row r="17">
      <c r="A17" s="5" t="inlineStr">
        <is>
          <t>Best Performer</t>
        </is>
      </c>
      <c r="B17" t="inlineStr">
        <is>
          <t>AAPL</t>
        </is>
      </c>
    </row>
    <row r="18">
      <c r="A18" s="5" t="inlineStr">
        <is>
          <t xml:space="preserve">  Return ($)</t>
        </is>
      </c>
      <c r="B18" s="3" t="n">
        <v>207971.8953988698</v>
      </c>
    </row>
    <row r="19">
      <c r="A19" s="5" t="inlineStr">
        <is>
          <t xml:space="preserve">  Return (%)</t>
        </is>
      </c>
      <c r="B19" s="6" t="n">
        <v>1299.824346242936</v>
      </c>
    </row>
    <row r="20">
      <c r="A20" s="5" t="inlineStr"/>
      <c r="B20" t="inlineStr"/>
    </row>
    <row r="21">
      <c r="A21" s="5" t="inlineStr">
        <is>
          <t>Worst Performer</t>
        </is>
      </c>
      <c r="B21" t="inlineStr">
        <is>
          <t>JPM</t>
        </is>
      </c>
    </row>
    <row r="22">
      <c r="A22" s="5" t="inlineStr">
        <is>
          <t xml:space="preserve">  Return ($)</t>
        </is>
      </c>
      <c r="B22" s="3" t="n">
        <v>5034.660079296635</v>
      </c>
    </row>
    <row r="23">
      <c r="A23" s="5" t="inlineStr">
        <is>
          <t xml:space="preserve">  Return (%)</t>
        </is>
      </c>
      <c r="B23" s="6" t="n">
        <v>31.46662549560397</v>
      </c>
    </row>
    <row r="26">
      <c r="A26" s="4" t="inlineStr">
        <is>
          <t>INDIVIDUAL SECURITY SUMMARY</t>
        </is>
      </c>
    </row>
    <row r="27">
      <c r="A27" s="8" t="inlineStr">
        <is>
          <t>Symbol</t>
        </is>
      </c>
      <c r="B27" s="8" t="inlineStr">
        <is>
          <t>Trades</t>
        </is>
      </c>
      <c r="C27" s="8" t="inlineStr">
        <is>
          <t>Win Rate %</t>
        </is>
      </c>
      <c r="D27" s="8" t="inlineStr">
        <is>
          <t>Total Return $</t>
        </is>
      </c>
      <c r="E27" s="8" t="inlineStr">
        <is>
          <t>Return %</t>
        </is>
      </c>
      <c r="F27" s="8" t="inlineStr">
        <is>
          <t>Sharpe</t>
        </is>
      </c>
      <c r="G27" s="8" t="inlineStr">
        <is>
          <t>Max DD %</t>
        </is>
      </c>
      <c r="H27" s="8" t="inlineStr">
        <is>
          <t>Profit Factor</t>
        </is>
      </c>
    </row>
    <row r="28">
      <c r="A28" t="inlineStr">
        <is>
          <t>AAPL</t>
        </is>
      </c>
      <c r="B28" t="n">
        <v>101</v>
      </c>
      <c r="C28" s="9" t="n">
        <v>41.58415841584159</v>
      </c>
      <c r="D28" s="10" t="n">
        <v>207971.8953988698</v>
      </c>
      <c r="E28" s="11" t="n">
        <v>1299.824346242936</v>
      </c>
      <c r="F28" s="12" t="n">
        <v>0.6845040731785825</v>
      </c>
      <c r="G28" s="6" t="n">
        <v>24.59616222954504</v>
      </c>
      <c r="H28" s="12" t="n">
        <v>2.335589237329671</v>
      </c>
    </row>
    <row r="29">
      <c r="A29" t="inlineStr">
        <is>
          <t>RJF</t>
        </is>
      </c>
      <c r="B29" t="n">
        <v>89</v>
      </c>
      <c r="C29" s="9" t="n">
        <v>42.69662921348314</v>
      </c>
      <c r="D29" s="10" t="n">
        <v>41666.93975283529</v>
      </c>
      <c r="E29" s="11" t="n">
        <v>260.4183734552205</v>
      </c>
      <c r="F29" s="12" t="n">
        <v>0.3104678850942624</v>
      </c>
      <c r="G29" s="6" t="n">
        <v>29.65820100837825</v>
      </c>
      <c r="H29" s="12" t="n">
        <v>2.208774462195503</v>
      </c>
    </row>
    <row r="30">
      <c r="A30" t="inlineStr">
        <is>
          <t>BLK</t>
        </is>
      </c>
      <c r="B30" t="n">
        <v>77</v>
      </c>
      <c r="C30" s="9" t="n">
        <v>42.85714285714285</v>
      </c>
      <c r="D30" s="10" t="n">
        <v>29227.99989695838</v>
      </c>
      <c r="E30" s="11" t="n">
        <v>182.6749993559899</v>
      </c>
      <c r="F30" s="12" t="n">
        <v>0.2341398556459153</v>
      </c>
      <c r="G30" s="6" t="n">
        <v>35.68289572613047</v>
      </c>
      <c r="H30" s="12" t="n">
        <v>2.220673504016655</v>
      </c>
    </row>
    <row r="31">
      <c r="A31" t="inlineStr">
        <is>
          <t>DLY</t>
        </is>
      </c>
      <c r="B31" t="n">
        <v>44</v>
      </c>
      <c r="C31" s="9" t="n">
        <v>47.72727272727273</v>
      </c>
      <c r="D31" s="10" t="n">
        <v>26417.37185746117</v>
      </c>
      <c r="E31" s="11" t="n">
        <v>165.1085741091323</v>
      </c>
      <c r="F31" s="12" t="n">
        <v>0.2766755387590066</v>
      </c>
      <c r="G31" s="6" t="n">
        <v>28.3587384889986</v>
      </c>
      <c r="H31" s="12" t="n">
        <v>3.154631727501971</v>
      </c>
    </row>
    <row r="32">
      <c r="A32" t="inlineStr">
        <is>
          <t>STT</t>
        </is>
      </c>
      <c r="B32" t="n">
        <v>101</v>
      </c>
      <c r="C32" s="9" t="n">
        <v>36.63366336633663</v>
      </c>
      <c r="D32" s="10" t="n">
        <v>16737.38758451723</v>
      </c>
      <c r="E32" s="11" t="n">
        <v>104.6086724032327</v>
      </c>
      <c r="F32" s="12" t="n">
        <v>0.1260670415740896</v>
      </c>
      <c r="G32" s="6" t="n">
        <v>40.0093674037566</v>
      </c>
      <c r="H32" s="12" t="n">
        <v>1.30244202278521</v>
      </c>
    </row>
    <row r="33">
      <c r="A33" t="inlineStr">
        <is>
          <t>HLI</t>
        </is>
      </c>
      <c r="B33" t="n">
        <v>32</v>
      </c>
      <c r="C33" s="9" t="n">
        <v>40.625</v>
      </c>
      <c r="D33" s="10" t="n">
        <v>9749.532136625552</v>
      </c>
      <c r="E33" s="11" t="n">
        <v>60.9345758539097</v>
      </c>
      <c r="F33" s="12" t="n">
        <v>0.2850860306680963</v>
      </c>
      <c r="G33" s="6" t="n">
        <v>21.61766867735942</v>
      </c>
      <c r="H33" s="12" t="n">
        <v>1.831909479004923</v>
      </c>
    </row>
    <row r="34">
      <c r="A34" t="inlineStr">
        <is>
          <t>SF</t>
        </is>
      </c>
      <c r="B34" t="n">
        <v>93</v>
      </c>
      <c r="C34" s="9" t="n">
        <v>43.01075268817204</v>
      </c>
      <c r="D34" s="10" t="n">
        <v>8022.168717080545</v>
      </c>
      <c r="E34" s="11" t="n">
        <v>50.1385544817534</v>
      </c>
      <c r="F34" s="12" t="n">
        <v>0.0202739620070045</v>
      </c>
      <c r="G34" s="6" t="n">
        <v>24.94884694649278</v>
      </c>
      <c r="H34" s="12" t="n">
        <v>1.228630070770145</v>
      </c>
    </row>
    <row r="35">
      <c r="A35" t="inlineStr">
        <is>
          <t>JPM</t>
        </is>
      </c>
      <c r="B35" t="n">
        <v>87</v>
      </c>
      <c r="C35" s="9" t="n">
        <v>43.67816091954023</v>
      </c>
      <c r="D35" s="10" t="n">
        <v>5034.660079296635</v>
      </c>
      <c r="E35" s="11" t="n">
        <v>31.46662549560397</v>
      </c>
      <c r="F35" s="12" t="n">
        <v>-0.0447524333304954</v>
      </c>
      <c r="G35" s="6" t="n">
        <v>36.71420653266421</v>
      </c>
      <c r="H35" s="12" t="n">
        <v>1.365783916949749</v>
      </c>
    </row>
  </sheetData>
  <mergeCells count="5">
    <mergeCell ref="A1:D1"/>
    <mergeCell ref="A8:D8"/>
    <mergeCell ref="A26:D26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DETAILED PERFORMANCE COMPARISON</t>
        </is>
      </c>
    </row>
    <row r="3">
      <c r="A3" s="8" t="inlineStr">
        <is>
          <t>Symbol</t>
        </is>
      </c>
      <c r="B3" s="8" t="inlineStr">
        <is>
          <t>Total Return %</t>
        </is>
      </c>
      <c r="C3" s="8" t="inlineStr">
        <is>
          <t>CAGR %</t>
        </is>
      </c>
      <c r="D3" s="8" t="inlineStr">
        <is>
          <t>Sharpe</t>
        </is>
      </c>
      <c r="E3" s="8" t="inlineStr">
        <is>
          <t>Sortino</t>
        </is>
      </c>
      <c r="F3" s="8" t="inlineStr">
        <is>
          <t>Max DD %</t>
        </is>
      </c>
      <c r="G3" s="8" t="inlineStr">
        <is>
          <t>Win Rate %</t>
        </is>
      </c>
      <c r="H3" s="8" t="inlineStr">
        <is>
          <t>Avg Trade Days</t>
        </is>
      </c>
      <c r="I3" s="8" t="inlineStr">
        <is>
          <t>Volatility %</t>
        </is>
      </c>
      <c r="J3" s="8" t="inlineStr">
        <is>
          <t>Profit Factor</t>
        </is>
      </c>
      <c r="K3" s="8" t="inlineStr">
        <is>
          <t>Num Trades</t>
        </is>
      </c>
    </row>
    <row r="4">
      <c r="A4" t="inlineStr">
        <is>
          <t>AAPL</t>
        </is>
      </c>
      <c r="B4" s="6" t="n">
        <v>1299.824346242936</v>
      </c>
      <c r="C4" s="6" t="n">
        <v>0</v>
      </c>
      <c r="D4" s="12" t="n">
        <v>0.6845040731785825</v>
      </c>
      <c r="E4" s="12" t="n">
        <v>0</v>
      </c>
      <c r="F4" s="6" t="n">
        <v>24.59616222954504</v>
      </c>
      <c r="G4" s="9" t="n">
        <v>41.58415841584159</v>
      </c>
      <c r="H4" s="14" t="n">
        <v>50.49504950495049</v>
      </c>
      <c r="I4" s="6" t="n">
        <v>0</v>
      </c>
      <c r="J4" s="12" t="n">
        <v>2.335589237329671</v>
      </c>
      <c r="K4" s="15" t="n">
        <v>101</v>
      </c>
    </row>
    <row r="5">
      <c r="A5" t="inlineStr">
        <is>
          <t>RJF</t>
        </is>
      </c>
      <c r="B5" s="6" t="n">
        <v>260.4183734552205</v>
      </c>
      <c r="C5" s="6" t="n">
        <v>0</v>
      </c>
      <c r="D5" s="12" t="n">
        <v>0.3104678850942624</v>
      </c>
      <c r="E5" s="12" t="n">
        <v>0</v>
      </c>
      <c r="F5" s="6" t="n">
        <v>29.65820100837825</v>
      </c>
      <c r="G5" s="9" t="n">
        <v>42.69662921348314</v>
      </c>
      <c r="H5" s="14" t="n">
        <v>51.64044943820225</v>
      </c>
      <c r="I5" s="6" t="n">
        <v>0</v>
      </c>
      <c r="J5" s="12" t="n">
        <v>2.208774462195503</v>
      </c>
      <c r="K5" s="15" t="n">
        <v>89</v>
      </c>
    </row>
    <row r="6">
      <c r="A6" t="inlineStr">
        <is>
          <t>HLI</t>
        </is>
      </c>
      <c r="B6" s="6" t="n">
        <v>60.9345758539097</v>
      </c>
      <c r="C6" s="6" t="n">
        <v>0</v>
      </c>
      <c r="D6" s="12" t="n">
        <v>0.2850860306680963</v>
      </c>
      <c r="E6" s="12" t="n">
        <v>0</v>
      </c>
      <c r="F6" s="6" t="n">
        <v>21.61766867735942</v>
      </c>
      <c r="G6" s="9" t="n">
        <v>40.625</v>
      </c>
      <c r="H6" s="14" t="n">
        <v>55.71875</v>
      </c>
      <c r="I6" s="6" t="n">
        <v>0</v>
      </c>
      <c r="J6" s="12" t="n">
        <v>1.831909479004923</v>
      </c>
      <c r="K6" s="15" t="n">
        <v>32</v>
      </c>
    </row>
    <row r="7">
      <c r="A7" t="inlineStr">
        <is>
          <t>DLY</t>
        </is>
      </c>
      <c r="B7" s="6" t="n">
        <v>165.1085741091323</v>
      </c>
      <c r="C7" s="6" t="n">
        <v>0</v>
      </c>
      <c r="D7" s="12" t="n">
        <v>0.2766755387590066</v>
      </c>
      <c r="E7" s="12" t="n">
        <v>0</v>
      </c>
      <c r="F7" s="6" t="n">
        <v>28.3587384889986</v>
      </c>
      <c r="G7" s="9" t="n">
        <v>47.72727272727273</v>
      </c>
      <c r="H7" s="14" t="n">
        <v>60.40909090909091</v>
      </c>
      <c r="I7" s="6" t="n">
        <v>0</v>
      </c>
      <c r="J7" s="12" t="n">
        <v>3.154631727501971</v>
      </c>
      <c r="K7" s="15" t="n">
        <v>44</v>
      </c>
    </row>
    <row r="8">
      <c r="A8" t="inlineStr">
        <is>
          <t>BLK</t>
        </is>
      </c>
      <c r="B8" s="6" t="n">
        <v>182.6749993559899</v>
      </c>
      <c r="C8" s="6" t="n">
        <v>0</v>
      </c>
      <c r="D8" s="12" t="n">
        <v>0.2341398556459153</v>
      </c>
      <c r="E8" s="12" t="n">
        <v>0</v>
      </c>
      <c r="F8" s="6" t="n">
        <v>35.68289572613047</v>
      </c>
      <c r="G8" s="9" t="n">
        <v>42.85714285714285</v>
      </c>
      <c r="H8" s="14" t="n">
        <v>49.5974025974026</v>
      </c>
      <c r="I8" s="6" t="n">
        <v>0</v>
      </c>
      <c r="J8" s="12" t="n">
        <v>2.220673504016655</v>
      </c>
      <c r="K8" s="15" t="n">
        <v>77</v>
      </c>
    </row>
    <row r="9">
      <c r="A9" t="inlineStr">
        <is>
          <t>STT</t>
        </is>
      </c>
      <c r="B9" s="6" t="n">
        <v>104.6086724032327</v>
      </c>
      <c r="C9" s="6" t="n">
        <v>0</v>
      </c>
      <c r="D9" s="12" t="n">
        <v>0.1260670415740896</v>
      </c>
      <c r="E9" s="12" t="n">
        <v>0</v>
      </c>
      <c r="F9" s="6" t="n">
        <v>40.0093674037566</v>
      </c>
      <c r="G9" s="9" t="n">
        <v>36.63366336633663</v>
      </c>
      <c r="H9" s="14" t="n">
        <v>44.00990099009901</v>
      </c>
      <c r="I9" s="6" t="n">
        <v>0</v>
      </c>
      <c r="J9" s="12" t="n">
        <v>1.30244202278521</v>
      </c>
      <c r="K9" s="15" t="n">
        <v>101</v>
      </c>
    </row>
    <row r="10">
      <c r="A10" t="inlineStr">
        <is>
          <t>SF</t>
        </is>
      </c>
      <c r="B10" s="6" t="n">
        <v>50.1385544817534</v>
      </c>
      <c r="C10" s="6" t="n">
        <v>0</v>
      </c>
      <c r="D10" s="12" t="n">
        <v>0.0202739620070045</v>
      </c>
      <c r="E10" s="12" t="n">
        <v>0</v>
      </c>
      <c r="F10" s="6" t="n">
        <v>24.94884694649278</v>
      </c>
      <c r="G10" s="9" t="n">
        <v>43.01075268817204</v>
      </c>
      <c r="H10" s="14" t="n">
        <v>39.70967741935484</v>
      </c>
      <c r="I10" s="6" t="n">
        <v>0</v>
      </c>
      <c r="J10" s="12" t="n">
        <v>1.228630070770145</v>
      </c>
      <c r="K10" s="15" t="n">
        <v>93</v>
      </c>
    </row>
    <row r="11">
      <c r="A11" t="inlineStr">
        <is>
          <t>JPM</t>
        </is>
      </c>
      <c r="B11" s="6" t="n">
        <v>31.46662549560397</v>
      </c>
      <c r="C11" s="6" t="n">
        <v>0</v>
      </c>
      <c r="D11" s="12" t="n">
        <v>-0.0447524333304954</v>
      </c>
      <c r="E11" s="12" t="n">
        <v>0</v>
      </c>
      <c r="F11" s="6" t="n">
        <v>36.71420653266421</v>
      </c>
      <c r="G11" s="9" t="n">
        <v>43.67816091954023</v>
      </c>
      <c r="H11" s="14" t="n">
        <v>42.55172413793103</v>
      </c>
      <c r="I11" s="6" t="n">
        <v>0</v>
      </c>
      <c r="J11" s="12" t="n">
        <v>1.365783916949749</v>
      </c>
      <c r="K11" s="15" t="n">
        <v>87</v>
      </c>
    </row>
    <row r="13">
      <c r="A13" s="16" t="inlineStr">
        <is>
          <t>AVERAGE</t>
        </is>
      </c>
      <c r="B13" s="17">
        <f>AVERAGE(B4:B11)</f>
        <v/>
      </c>
      <c r="C13" s="17">
        <f>AVERAGE(C4:C11)</f>
        <v/>
      </c>
      <c r="D13" s="18">
        <f>AVERAGE(D4:D11)</f>
        <v/>
      </c>
      <c r="E13" s="18">
        <f>AVERAGE(E4:E11)</f>
        <v/>
      </c>
      <c r="F13" s="17">
        <f>AVERAGE(F4:F11)</f>
        <v/>
      </c>
      <c r="G13" s="19">
        <f>AVERAGE(G4:G11)</f>
        <v/>
      </c>
      <c r="H13" s="20">
        <f>AVERAGE(H4:H11)</f>
        <v/>
      </c>
      <c r="I13" s="17">
        <f>AVERAGE(I4:I11)</f>
        <v/>
      </c>
      <c r="J13" s="18">
        <f>AVERAGE(J4:J11)</f>
        <v/>
      </c>
      <c r="K13" s="21">
        <f>AVERAGE(K4:K11)</f>
        <v/>
      </c>
    </row>
  </sheetData>
  <mergeCells count="1">
    <mergeCell ref="A1:F1"/>
  </mergeCells>
  <conditionalFormatting sqref="B4:B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3" t="inlineStr">
        <is>
          <t>CORRELATION ANALYSIS</t>
        </is>
      </c>
    </row>
    <row r="3">
      <c r="A3" s="4" t="inlineStr">
        <is>
          <t>CORRELATION SUMMARY STATISTICS</t>
        </is>
      </c>
    </row>
    <row r="4">
      <c r="A4" s="5" t="inlineStr">
        <is>
          <t>Average Return Correlation</t>
        </is>
      </c>
      <c r="B4" s="12" t="n">
        <v>0.2796065900748587</v>
      </c>
    </row>
    <row r="5">
      <c r="A5" s="5" t="inlineStr">
        <is>
          <t>Maximum Correlation</t>
        </is>
      </c>
      <c r="B5" s="12" t="n">
        <v>0.4907351401395914</v>
      </c>
    </row>
    <row r="6">
      <c r="A6" s="5" t="inlineStr">
        <is>
          <t>Minimum Correlation</t>
        </is>
      </c>
      <c r="B6" s="12" t="n">
        <v>0.07007683030402277</v>
      </c>
    </row>
    <row r="7">
      <c r="A7" s="5" t="inlineStr">
        <is>
          <t>Highly Correlated Pairs (&gt;0.7)</t>
        </is>
      </c>
      <c r="B7" s="7" t="n">
        <v>0</v>
      </c>
    </row>
    <row r="8">
      <c r="A8" s="5" t="inlineStr">
        <is>
          <t>Negatively Correlated Pairs (&lt;-0.3)</t>
        </is>
      </c>
      <c r="B8" s="7" t="n">
        <v>0</v>
      </c>
    </row>
    <row r="11">
      <c r="A11" s="22" t="inlineStr">
        <is>
          <t>Correlation Interpretation:</t>
        </is>
      </c>
    </row>
    <row r="12">
      <c r="A12" s="23" t="inlineStr">
        <is>
          <t>• Low correlation (&lt;0.3): Securities move independently - good diversification</t>
        </is>
      </c>
    </row>
    <row r="13">
      <c r="A13" s="23" t="inlineStr">
        <is>
          <t>• Medium correlation (0.3-0.7): Some relationship - moderate diversification</t>
        </is>
      </c>
    </row>
    <row r="14">
      <c r="A14" s="23" t="inlineStr">
        <is>
          <t>• High correlation (&gt;0.7): Securities move together - limited diversification benefit</t>
        </is>
      </c>
    </row>
    <row r="15">
      <c r="A15" s="23" t="inlineStr">
        <is>
          <t>• Negative correlation (&lt;0): Securities move opposite - potential hedging opportunities</t>
        </is>
      </c>
    </row>
    <row r="17">
      <c r="A17" s="4" t="inlineStr">
        <is>
          <t>RETURN CORRELATION MATRIX</t>
        </is>
      </c>
    </row>
    <row r="18">
      <c r="A18" s="24" t="inlineStr"/>
      <c r="B18" s="8" t="inlineStr">
        <is>
          <t>AAPL</t>
        </is>
      </c>
      <c r="C18" s="8" t="inlineStr">
        <is>
          <t>BLK</t>
        </is>
      </c>
      <c r="D18" s="8" t="inlineStr">
        <is>
          <t>DLY</t>
        </is>
      </c>
      <c r="E18" s="8" t="inlineStr">
        <is>
          <t>HLI</t>
        </is>
      </c>
      <c r="F18" s="8" t="inlineStr">
        <is>
          <t>JPM</t>
        </is>
      </c>
      <c r="G18" s="8" t="inlineStr">
        <is>
          <t>RJF</t>
        </is>
      </c>
      <c r="H18" s="8" t="inlineStr">
        <is>
          <t>SF</t>
        </is>
      </c>
      <c r="I18" s="8" t="inlineStr">
        <is>
          <t>STT</t>
        </is>
      </c>
    </row>
    <row r="19">
      <c r="A19" s="16" t="inlineStr">
        <is>
          <t>AAPL</t>
        </is>
      </c>
      <c r="B19" s="12" t="n">
        <v>1</v>
      </c>
      <c r="C19" s="25" t="n">
        <v>0.2129279346230714</v>
      </c>
      <c r="D19" s="25" t="n">
        <v>0.07007683030402277</v>
      </c>
      <c r="E19" s="25" t="n">
        <v>0.1513414492326346</v>
      </c>
      <c r="F19" s="25" t="n">
        <v>0.1417359127398138</v>
      </c>
      <c r="G19" s="25" t="n">
        <v>0.1449422921895242</v>
      </c>
      <c r="H19" s="25" t="n">
        <v>0.1512574585540296</v>
      </c>
      <c r="I19" s="25" t="n">
        <v>0.1754109845034483</v>
      </c>
    </row>
    <row r="20">
      <c r="A20" s="16" t="inlineStr">
        <is>
          <t>BLK</t>
        </is>
      </c>
      <c r="B20" s="25" t="n">
        <v>0.2129279346230714</v>
      </c>
      <c r="C20" s="12" t="n">
        <v>1</v>
      </c>
      <c r="D20" s="25" t="n">
        <v>0.1774379867953918</v>
      </c>
      <c r="E20" s="25" t="n">
        <v>0.2922875818653208</v>
      </c>
      <c r="F20" s="12" t="n">
        <v>0.3835305095805716</v>
      </c>
      <c r="G20" s="12" t="n">
        <v>0.3471241579338016</v>
      </c>
      <c r="H20" s="12" t="n">
        <v>0.3184023994681927</v>
      </c>
      <c r="I20" s="12" t="n">
        <v>0.3998512529160544</v>
      </c>
    </row>
    <row r="21">
      <c r="A21" s="16" t="inlineStr">
        <is>
          <t>DLY</t>
        </is>
      </c>
      <c r="B21" s="25" t="n">
        <v>0.07007683030402277</v>
      </c>
      <c r="C21" s="25" t="n">
        <v>0.1774379867953918</v>
      </c>
      <c r="D21" s="12" t="n">
        <v>1</v>
      </c>
      <c r="E21" s="25" t="n">
        <v>0.07708850951397865</v>
      </c>
      <c r="F21" s="25" t="n">
        <v>0.2292788535952989</v>
      </c>
      <c r="G21" s="25" t="n">
        <v>0.1854900119119066</v>
      </c>
      <c r="H21" s="25" t="n">
        <v>0.1362349594322027</v>
      </c>
      <c r="I21" s="25" t="n">
        <v>0.1616810634994821</v>
      </c>
    </row>
    <row r="22">
      <c r="A22" s="16" t="inlineStr">
        <is>
          <t>HLI</t>
        </is>
      </c>
      <c r="B22" s="25" t="n">
        <v>0.1513414492326346</v>
      </c>
      <c r="C22" s="25" t="n">
        <v>0.2922875818653208</v>
      </c>
      <c r="D22" s="25" t="n">
        <v>0.07708850951397865</v>
      </c>
      <c r="E22" s="12" t="n">
        <v>1</v>
      </c>
      <c r="F22" s="12" t="n">
        <v>0.405553427043983</v>
      </c>
      <c r="G22" s="12" t="n">
        <v>0.3331230222925903</v>
      </c>
      <c r="H22" s="12" t="n">
        <v>0.3728920883797344</v>
      </c>
      <c r="I22" s="12" t="n">
        <v>0.3663638563239842</v>
      </c>
    </row>
    <row r="23">
      <c r="A23" s="16" t="inlineStr">
        <is>
          <t>JPM</t>
        </is>
      </c>
      <c r="B23" s="25" t="n">
        <v>0.1417359127398138</v>
      </c>
      <c r="C23" s="12" t="n">
        <v>0.3835305095805716</v>
      </c>
      <c r="D23" s="25" t="n">
        <v>0.2292788535952989</v>
      </c>
      <c r="E23" s="12" t="n">
        <v>0.405553427043983</v>
      </c>
      <c r="F23" s="12" t="n">
        <v>1</v>
      </c>
      <c r="G23" s="12" t="n">
        <v>0.4633688914590394</v>
      </c>
      <c r="H23" s="12" t="n">
        <v>0.4504011610513524</v>
      </c>
      <c r="I23" s="12" t="n">
        <v>0.4907351401395914</v>
      </c>
    </row>
    <row r="24">
      <c r="A24" s="16" t="inlineStr">
        <is>
          <t>RJF</t>
        </is>
      </c>
      <c r="B24" s="25" t="n">
        <v>0.1449422921895242</v>
      </c>
      <c r="C24" s="12" t="n">
        <v>0.3471241579338016</v>
      </c>
      <c r="D24" s="25" t="n">
        <v>0.1854900119119066</v>
      </c>
      <c r="E24" s="12" t="n">
        <v>0.3331230222925903</v>
      </c>
      <c r="F24" s="12" t="n">
        <v>0.4633688914590394</v>
      </c>
      <c r="G24" s="12" t="n">
        <v>1</v>
      </c>
      <c r="H24" s="12" t="n">
        <v>0.4217207048395199</v>
      </c>
      <c r="I24" s="12" t="n">
        <v>0.4042189207438023</v>
      </c>
    </row>
    <row r="25">
      <c r="A25" s="16" t="inlineStr">
        <is>
          <t>SF</t>
        </is>
      </c>
      <c r="B25" s="25" t="n">
        <v>0.1512574585540296</v>
      </c>
      <c r="C25" s="12" t="n">
        <v>0.3184023994681927</v>
      </c>
      <c r="D25" s="25" t="n">
        <v>0.1362349594322027</v>
      </c>
      <c r="E25" s="12" t="n">
        <v>0.3728920883797344</v>
      </c>
      <c r="F25" s="12" t="n">
        <v>0.4504011610513524</v>
      </c>
      <c r="G25" s="12" t="n">
        <v>0.4217207048395199</v>
      </c>
      <c r="H25" s="12" t="n">
        <v>1</v>
      </c>
      <c r="I25" s="12" t="n">
        <v>0.3645071611636986</v>
      </c>
    </row>
    <row r="26">
      <c r="A26" s="16" t="inlineStr">
        <is>
          <t>STT</t>
        </is>
      </c>
      <c r="B26" s="25" t="n">
        <v>0.1754109845034483</v>
      </c>
      <c r="C26" s="12" t="n">
        <v>0.3998512529160544</v>
      </c>
      <c r="D26" s="25" t="n">
        <v>0.1616810634994821</v>
      </c>
      <c r="E26" s="12" t="n">
        <v>0.3663638563239842</v>
      </c>
      <c r="F26" s="12" t="n">
        <v>0.4907351401395914</v>
      </c>
      <c r="G26" s="12" t="n">
        <v>0.4042189207438023</v>
      </c>
      <c r="H26" s="12" t="n">
        <v>0.3645071611636986</v>
      </c>
      <c r="I26" s="12" t="n">
        <v>1</v>
      </c>
    </row>
    <row r="28">
      <c r="A28" s="4" t="inlineStr">
        <is>
          <t>DRAWDOWN CORRELATION MATRIX</t>
        </is>
      </c>
    </row>
    <row r="29">
      <c r="A29" s="26" t="inlineStr">
        <is>
          <t>(Shows if securities tend to have drawdowns at the same time)</t>
        </is>
      </c>
    </row>
    <row r="30">
      <c r="A30" s="24" t="inlineStr"/>
      <c r="B30" s="8" t="inlineStr">
        <is>
          <t>AAPL</t>
        </is>
      </c>
      <c r="C30" s="8" t="inlineStr">
        <is>
          <t>BLK</t>
        </is>
      </c>
      <c r="D30" s="8" t="inlineStr">
        <is>
          <t>DLY</t>
        </is>
      </c>
      <c r="E30" s="8" t="inlineStr">
        <is>
          <t>HLI</t>
        </is>
      </c>
      <c r="F30" s="8" t="inlineStr">
        <is>
          <t>JPM</t>
        </is>
      </c>
      <c r="G30" s="8" t="inlineStr">
        <is>
          <t>RJF</t>
        </is>
      </c>
      <c r="H30" s="8" t="inlineStr">
        <is>
          <t>SF</t>
        </is>
      </c>
      <c r="I30" s="8" t="inlineStr">
        <is>
          <t>STT</t>
        </is>
      </c>
    </row>
    <row r="31">
      <c r="A31" s="16" t="inlineStr">
        <is>
          <t>AAPL</t>
        </is>
      </c>
      <c r="B31" s="12" t="n">
        <v>1</v>
      </c>
      <c r="C31" s="12" t="n">
        <v>0.02422692984563601</v>
      </c>
      <c r="D31" s="12" t="n">
        <v/>
      </c>
      <c r="E31" s="12" t="n">
        <v/>
      </c>
      <c r="F31" s="12" t="n">
        <v>-0.0850076810594102</v>
      </c>
      <c r="G31" s="12" t="n">
        <v>-0.01916816244600977</v>
      </c>
      <c r="H31" s="12" t="n">
        <v>0.02605402987527036</v>
      </c>
      <c r="I31" s="12" t="n">
        <v>0.2015957405884856</v>
      </c>
    </row>
    <row r="32">
      <c r="A32" s="16" t="inlineStr">
        <is>
          <t>BLK</t>
        </is>
      </c>
      <c r="B32" s="12" t="n">
        <v>0.02422692984563601</v>
      </c>
      <c r="C32" s="12" t="n">
        <v>1</v>
      </c>
      <c r="D32" s="12" t="n">
        <v/>
      </c>
      <c r="E32" s="12" t="n">
        <v/>
      </c>
      <c r="F32" s="12" t="n">
        <v>0.3251210151369605</v>
      </c>
      <c r="G32" s="12" t="n">
        <v>-0.270817071360296</v>
      </c>
      <c r="H32" s="12" t="n">
        <v>-0.2993687185749226</v>
      </c>
      <c r="I32" s="12" t="n">
        <v>-0.06248421540326709</v>
      </c>
    </row>
    <row r="33">
      <c r="A33" s="16" t="inlineStr">
        <is>
          <t>DLY</t>
        </is>
      </c>
      <c r="B33" s="12" t="n">
        <v/>
      </c>
      <c r="C33" s="12" t="n">
        <v/>
      </c>
      <c r="D33" s="12" t="n">
        <v/>
      </c>
      <c r="E33" s="12" t="n">
        <v/>
      </c>
      <c r="F33" s="12" t="n">
        <v/>
      </c>
      <c r="G33" s="12" t="n">
        <v/>
      </c>
      <c r="H33" s="12" t="n">
        <v/>
      </c>
      <c r="I33" s="12" t="n">
        <v/>
      </c>
    </row>
    <row r="34">
      <c r="A34" s="16" t="inlineStr">
        <is>
          <t>HLI</t>
        </is>
      </c>
      <c r="B34" s="12" t="n">
        <v/>
      </c>
      <c r="C34" s="12" t="n">
        <v/>
      </c>
      <c r="D34" s="12" t="n">
        <v/>
      </c>
      <c r="E34" s="12" t="n">
        <v/>
      </c>
      <c r="F34" s="12" t="n">
        <v/>
      </c>
      <c r="G34" s="12" t="n">
        <v/>
      </c>
      <c r="H34" s="12" t="n">
        <v/>
      </c>
      <c r="I34" s="12" t="n">
        <v/>
      </c>
    </row>
    <row r="35">
      <c r="A35" s="16" t="inlineStr">
        <is>
          <t>JPM</t>
        </is>
      </c>
      <c r="B35" s="12" t="n">
        <v>-0.0850076810594102</v>
      </c>
      <c r="C35" s="12" t="n">
        <v>0.3251210151369605</v>
      </c>
      <c r="D35" s="12" t="n">
        <v/>
      </c>
      <c r="E35" s="12" t="n">
        <v/>
      </c>
      <c r="F35" s="12" t="n">
        <v>1</v>
      </c>
      <c r="G35" s="12" t="n">
        <v>0.01762385510223531</v>
      </c>
      <c r="H35" s="12" t="n">
        <v>0.2576852791660594</v>
      </c>
      <c r="I35" s="12" t="n">
        <v>0.01989593456758991</v>
      </c>
    </row>
    <row r="36">
      <c r="A36" s="16" t="inlineStr">
        <is>
          <t>RJF</t>
        </is>
      </c>
      <c r="B36" s="12" t="n">
        <v>-0.01916816244600977</v>
      </c>
      <c r="C36" s="12" t="n">
        <v>-0.270817071360296</v>
      </c>
      <c r="D36" s="12" t="n">
        <v/>
      </c>
      <c r="E36" s="12" t="n">
        <v/>
      </c>
      <c r="F36" s="12" t="n">
        <v>0.01762385510223531</v>
      </c>
      <c r="G36" s="12" t="n">
        <v>1</v>
      </c>
      <c r="H36" s="12" t="n">
        <v>0.6091933665934613</v>
      </c>
      <c r="I36" s="12" t="n">
        <v>-0.07441108736828589</v>
      </c>
    </row>
    <row r="37">
      <c r="A37" s="16" t="inlineStr">
        <is>
          <t>SF</t>
        </is>
      </c>
      <c r="B37" s="12" t="n">
        <v>0.02605402987527036</v>
      </c>
      <c r="C37" s="12" t="n">
        <v>-0.2993687185749226</v>
      </c>
      <c r="D37" s="12" t="n">
        <v/>
      </c>
      <c r="E37" s="12" t="n">
        <v/>
      </c>
      <c r="F37" s="12" t="n">
        <v>0.2576852791660594</v>
      </c>
      <c r="G37" s="12" t="n">
        <v>0.6091933665934613</v>
      </c>
      <c r="H37" s="12" t="n">
        <v>1</v>
      </c>
      <c r="I37" s="12" t="n">
        <v>-0.07763368222066394</v>
      </c>
    </row>
    <row r="38">
      <c r="A38" s="16" t="inlineStr">
        <is>
          <t>STT</t>
        </is>
      </c>
      <c r="B38" s="12" t="n">
        <v>0.2015957405884856</v>
      </c>
      <c r="C38" s="12" t="n">
        <v>-0.06248421540326709</v>
      </c>
      <c r="D38" s="12" t="n">
        <v/>
      </c>
      <c r="E38" s="12" t="n">
        <v/>
      </c>
      <c r="F38" s="12" t="n">
        <v>0.01989593456758991</v>
      </c>
      <c r="G38" s="12" t="n">
        <v>-0.07441108736828589</v>
      </c>
      <c r="H38" s="12" t="n">
        <v>-0.07763368222066394</v>
      </c>
      <c r="I38" s="12" t="n">
        <v>1</v>
      </c>
    </row>
  </sheetData>
  <mergeCells count="5">
    <mergeCell ref="A17:D17"/>
    <mergeCell ref="A3:D3"/>
    <mergeCell ref="A1:E1"/>
    <mergeCell ref="A11:D11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3" t="inlineStr">
        <is>
          <t>RISK ANALYSIS</t>
        </is>
      </c>
    </row>
    <row r="3">
      <c r="A3" s="8" t="inlineStr">
        <is>
          <t>Symbol</t>
        </is>
      </c>
      <c r="B3" s="8" t="inlineStr">
        <is>
          <t>Max Drawdown %</t>
        </is>
      </c>
      <c r="C3" s="8" t="inlineStr">
        <is>
          <t>Volatility %</t>
        </is>
      </c>
      <c r="D3" s="8" t="inlineStr">
        <is>
          <t>Downside Dev %</t>
        </is>
      </c>
      <c r="E3" s="8" t="inlineStr">
        <is>
          <t>Worst Day %</t>
        </is>
      </c>
      <c r="F3" s="8" t="inlineStr">
        <is>
          <t>Sharpe</t>
        </is>
      </c>
      <c r="G3" s="8" t="inlineStr">
        <is>
          <t>Sortino</t>
        </is>
      </c>
      <c r="H3" s="8" t="inlineStr">
        <is>
          <t>Calmar</t>
        </is>
      </c>
    </row>
    <row r="4">
      <c r="A4" t="inlineStr">
        <is>
          <t>HLI</t>
        </is>
      </c>
      <c r="B4" s="6" t="n">
        <v>21.61766867735942</v>
      </c>
      <c r="C4" s="6" t="n">
        <v>0</v>
      </c>
      <c r="D4" s="6" t="n">
        <v>0</v>
      </c>
      <c r="E4" s="6" t="n">
        <v>0</v>
      </c>
      <c r="F4" s="12" t="n">
        <v>0.2850860306680963</v>
      </c>
      <c r="G4" s="12" t="n">
        <v>0</v>
      </c>
      <c r="H4" s="12" t="n">
        <v>0</v>
      </c>
    </row>
    <row r="5">
      <c r="A5" t="inlineStr">
        <is>
          <t>AAPL</t>
        </is>
      </c>
      <c r="B5" s="6" t="n">
        <v>24.59616222954504</v>
      </c>
      <c r="C5" s="6" t="n">
        <v>0</v>
      </c>
      <c r="D5" s="6" t="n">
        <v>0</v>
      </c>
      <c r="E5" s="6" t="n">
        <v>0</v>
      </c>
      <c r="F5" s="12" t="n">
        <v>0.6845040731785825</v>
      </c>
      <c r="G5" s="12" t="n">
        <v>0</v>
      </c>
      <c r="H5" s="12" t="n">
        <v>0</v>
      </c>
    </row>
    <row r="6">
      <c r="A6" t="inlineStr">
        <is>
          <t>SF</t>
        </is>
      </c>
      <c r="B6" s="6" t="n">
        <v>24.94884694649278</v>
      </c>
      <c r="C6" s="6" t="n">
        <v>0</v>
      </c>
      <c r="D6" s="6" t="n">
        <v>0</v>
      </c>
      <c r="E6" s="6" t="n">
        <v>0</v>
      </c>
      <c r="F6" s="12" t="n">
        <v>0.0202739620070045</v>
      </c>
      <c r="G6" s="12" t="n">
        <v>0</v>
      </c>
      <c r="H6" s="12" t="n">
        <v>0</v>
      </c>
    </row>
    <row r="7">
      <c r="A7" t="inlineStr">
        <is>
          <t>DLY</t>
        </is>
      </c>
      <c r="B7" s="6" t="n">
        <v>28.3587384889986</v>
      </c>
      <c r="C7" s="6" t="n">
        <v>0</v>
      </c>
      <c r="D7" s="6" t="n">
        <v>0</v>
      </c>
      <c r="E7" s="6" t="n">
        <v>0</v>
      </c>
      <c r="F7" s="12" t="n">
        <v>0.2766755387590066</v>
      </c>
      <c r="G7" s="12" t="n">
        <v>0</v>
      </c>
      <c r="H7" s="12" t="n">
        <v>0</v>
      </c>
    </row>
    <row r="8">
      <c r="A8" t="inlineStr">
        <is>
          <t>RJF</t>
        </is>
      </c>
      <c r="B8" s="6" t="n">
        <v>29.65820100837825</v>
      </c>
      <c r="C8" s="6" t="n">
        <v>0</v>
      </c>
      <c r="D8" s="6" t="n">
        <v>0</v>
      </c>
      <c r="E8" s="6" t="n">
        <v>0</v>
      </c>
      <c r="F8" s="12" t="n">
        <v>0.3104678850942624</v>
      </c>
      <c r="G8" s="12" t="n">
        <v>0</v>
      </c>
      <c r="H8" s="12" t="n">
        <v>0</v>
      </c>
    </row>
    <row r="9">
      <c r="A9" t="inlineStr">
        <is>
          <t>BLK</t>
        </is>
      </c>
      <c r="B9" s="6" t="n">
        <v>35.68289572613047</v>
      </c>
      <c r="C9" s="6" t="n">
        <v>0</v>
      </c>
      <c r="D9" s="6" t="n">
        <v>0</v>
      </c>
      <c r="E9" s="6" t="n">
        <v>0</v>
      </c>
      <c r="F9" s="12" t="n">
        <v>0.2341398556459153</v>
      </c>
      <c r="G9" s="12" t="n">
        <v>0</v>
      </c>
      <c r="H9" s="12" t="n">
        <v>0</v>
      </c>
    </row>
    <row r="10">
      <c r="A10" t="inlineStr">
        <is>
          <t>JPM</t>
        </is>
      </c>
      <c r="B10" s="6" t="n">
        <v>36.71420653266421</v>
      </c>
      <c r="C10" s="6" t="n">
        <v>0</v>
      </c>
      <c r="D10" s="6" t="n">
        <v>0</v>
      </c>
      <c r="E10" s="6" t="n">
        <v>0</v>
      </c>
      <c r="F10" s="12" t="n">
        <v>-0.0447524333304954</v>
      </c>
      <c r="G10" s="12" t="n">
        <v>0</v>
      </c>
      <c r="H10" s="12" t="n">
        <v>0</v>
      </c>
    </row>
    <row r="11">
      <c r="A11" t="inlineStr">
        <is>
          <t>STT</t>
        </is>
      </c>
      <c r="B11" s="6" t="n">
        <v>40.0093674037566</v>
      </c>
      <c r="C11" s="6" t="n">
        <v>0</v>
      </c>
      <c r="D11" s="6" t="n">
        <v>0</v>
      </c>
      <c r="E11" s="6" t="n">
        <v>0</v>
      </c>
      <c r="F11" s="12" t="n">
        <v>0.1260670415740896</v>
      </c>
      <c r="G11" s="12" t="n">
        <v>0</v>
      </c>
      <c r="H11" s="12" t="n">
        <v>0</v>
      </c>
    </row>
    <row r="14">
      <c r="A14" s="4" t="inlineStr">
        <is>
          <t>RISK-RETURN PROFILE</t>
        </is>
      </c>
    </row>
    <row r="15">
      <c r="A15" s="16" t="inlineStr">
        <is>
          <t>Symbol</t>
        </is>
      </c>
      <c r="B15" s="16" t="inlineStr">
        <is>
          <t>Return %</t>
        </is>
      </c>
      <c r="C15" s="16" t="inlineStr">
        <is>
          <t>Risk (Volatility %)</t>
        </is>
      </c>
      <c r="D15" s="16" t="inlineStr">
        <is>
          <t>Risk-Adjusted Return</t>
        </is>
      </c>
    </row>
    <row r="16">
      <c r="A16" t="inlineStr">
        <is>
          <t>HLI</t>
        </is>
      </c>
      <c r="B16" s="6" t="n">
        <v>60.9345758539097</v>
      </c>
      <c r="C16" s="6" t="n">
        <v>0.01</v>
      </c>
      <c r="D16" s="12" t="n">
        <v>6093.45758539097</v>
      </c>
    </row>
    <row r="17">
      <c r="A17" t="inlineStr">
        <is>
          <t>AAPL</t>
        </is>
      </c>
      <c r="B17" s="6" t="n">
        <v>1299.824346242936</v>
      </c>
      <c r="C17" s="6" t="n">
        <v>0.01</v>
      </c>
      <c r="D17" s="12" t="n">
        <v>129982.4346242936</v>
      </c>
    </row>
    <row r="18">
      <c r="A18" t="inlineStr">
        <is>
          <t>SF</t>
        </is>
      </c>
      <c r="B18" s="6" t="n">
        <v>50.1385544817534</v>
      </c>
      <c r="C18" s="6" t="n">
        <v>0.01</v>
      </c>
      <c r="D18" s="12" t="n">
        <v>5013.85544817534</v>
      </c>
    </row>
    <row r="19">
      <c r="A19" t="inlineStr">
        <is>
          <t>DLY</t>
        </is>
      </c>
      <c r="B19" s="6" t="n">
        <v>165.1085741091323</v>
      </c>
      <c r="C19" s="6" t="n">
        <v>0.01</v>
      </c>
      <c r="D19" s="12" t="n">
        <v>16510.85741091323</v>
      </c>
    </row>
    <row r="20">
      <c r="A20" t="inlineStr">
        <is>
          <t>RJF</t>
        </is>
      </c>
      <c r="B20" s="6" t="n">
        <v>260.4183734552205</v>
      </c>
      <c r="C20" s="6" t="n">
        <v>0.01</v>
      </c>
      <c r="D20" s="12" t="n">
        <v>26041.83734552205</v>
      </c>
    </row>
    <row r="21">
      <c r="A21" t="inlineStr">
        <is>
          <t>BLK</t>
        </is>
      </c>
      <c r="B21" s="6" t="n">
        <v>182.6749993559899</v>
      </c>
      <c r="C21" s="6" t="n">
        <v>0.01</v>
      </c>
      <c r="D21" s="12" t="n">
        <v>18267.49993559899</v>
      </c>
    </row>
    <row r="22">
      <c r="A22" t="inlineStr">
        <is>
          <t>JPM</t>
        </is>
      </c>
      <c r="B22" s="6" t="n">
        <v>31.46662549560397</v>
      </c>
      <c r="C22" s="6" t="n">
        <v>0.01</v>
      </c>
      <c r="D22" s="12" t="n">
        <v>3146.662549560397</v>
      </c>
    </row>
    <row r="23">
      <c r="A23" t="inlineStr">
        <is>
          <t>STT</t>
        </is>
      </c>
      <c r="B23" s="6" t="n">
        <v>104.6086724032327</v>
      </c>
      <c r="C23" s="6" t="n">
        <v>0.01</v>
      </c>
      <c r="D23" s="12" t="n">
        <v>10460.86724032327</v>
      </c>
    </row>
  </sheetData>
  <mergeCells count="2">
    <mergeCell ref="A1:D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COMPARATIVE VISUALIZATIONS</t>
        </is>
      </c>
    </row>
    <row r="4">
      <c r="A4" s="28" t="inlineStr">
        <is>
          <t>Symbol</t>
        </is>
      </c>
      <c r="B4" s="28" t="inlineStr">
        <is>
          <t>Total Return %</t>
        </is>
      </c>
      <c r="C4" s="28" t="inlineStr">
        <is>
          <t>Sharpe Ratio</t>
        </is>
      </c>
      <c r="D4" s="28" t="inlineStr">
        <is>
          <t>Max Drawdown %</t>
        </is>
      </c>
      <c r="E4" s="28" t="inlineStr">
        <is>
          <t>Win Rate %</t>
        </is>
      </c>
    </row>
    <row r="5">
      <c r="A5" t="inlineStr">
        <is>
          <t>AAPL</t>
        </is>
      </c>
      <c r="B5" t="n">
        <v>1299.824346242936</v>
      </c>
      <c r="C5" t="n">
        <v>0.6845040731785825</v>
      </c>
      <c r="D5" t="n">
        <v>24.59616222954504</v>
      </c>
      <c r="E5" t="n">
        <v>41.58415841584159</v>
      </c>
    </row>
    <row r="6">
      <c r="A6" t="inlineStr">
        <is>
          <t>RJF</t>
        </is>
      </c>
      <c r="B6" t="n">
        <v>260.4183734552205</v>
      </c>
      <c r="C6" t="n">
        <v>0.3104678850942624</v>
      </c>
      <c r="D6" t="n">
        <v>29.65820100837825</v>
      </c>
      <c r="E6" t="n">
        <v>42.69662921348314</v>
      </c>
    </row>
    <row r="7">
      <c r="A7" t="inlineStr">
        <is>
          <t>BLK</t>
        </is>
      </c>
      <c r="B7" t="n">
        <v>182.6749993559899</v>
      </c>
      <c r="C7" t="n">
        <v>0.2341398556459153</v>
      </c>
      <c r="D7" t="n">
        <v>35.68289572613047</v>
      </c>
      <c r="E7" t="n">
        <v>42.85714285714285</v>
      </c>
    </row>
    <row r="8">
      <c r="A8" t="inlineStr">
        <is>
          <t>DLY</t>
        </is>
      </c>
      <c r="B8" t="n">
        <v>165.1085741091323</v>
      </c>
      <c r="C8" t="n">
        <v>0.2766755387590066</v>
      </c>
      <c r="D8" t="n">
        <v>28.3587384889986</v>
      </c>
      <c r="E8" t="n">
        <v>47.72727272727273</v>
      </c>
    </row>
    <row r="9">
      <c r="A9" t="inlineStr">
        <is>
          <t>STT</t>
        </is>
      </c>
      <c r="B9" t="n">
        <v>104.6086724032327</v>
      </c>
      <c r="C9" t="n">
        <v>0.1260670415740896</v>
      </c>
      <c r="D9" t="n">
        <v>40.0093674037566</v>
      </c>
      <c r="E9" t="n">
        <v>36.63366336633663</v>
      </c>
    </row>
    <row r="10">
      <c r="A10" t="inlineStr">
        <is>
          <t>HLI</t>
        </is>
      </c>
      <c r="B10" t="n">
        <v>60.9345758539097</v>
      </c>
      <c r="C10" t="n">
        <v>0.2850860306680963</v>
      </c>
      <c r="D10" t="n">
        <v>21.61766867735942</v>
      </c>
      <c r="E10" t="n">
        <v>40.625</v>
      </c>
    </row>
    <row r="11">
      <c r="A11" t="inlineStr">
        <is>
          <t>SF</t>
        </is>
      </c>
      <c r="B11" t="n">
        <v>50.1385544817534</v>
      </c>
      <c r="C11" t="n">
        <v>0.0202739620070045</v>
      </c>
      <c r="D11" t="n">
        <v>24.94884694649278</v>
      </c>
      <c r="E11" t="n">
        <v>43.01075268817204</v>
      </c>
    </row>
    <row r="12">
      <c r="A12" t="inlineStr">
        <is>
          <t>JPM</t>
        </is>
      </c>
      <c r="B12" t="n">
        <v>31.46662549560397</v>
      </c>
      <c r="C12" t="n">
        <v>-0.0447524333304954</v>
      </c>
      <c r="D12" t="n">
        <v>36.71420653266421</v>
      </c>
      <c r="E12" t="n">
        <v>43.67816091954023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2025-11-29T21:36:27Z</dcterms:created>
  <dcterms:modified xmlns:dcterms="http://purl.org/dc/terms/" xmlns:xsi="http://www.w3.org/2001/XMLSchema-instance" xsi:type="dcterms:W3CDTF">2025-11-29T21:36:27Z</dcterms:modified>
</cp:coreProperties>
</file>