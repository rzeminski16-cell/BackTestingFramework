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zemi\OneDrive\Desktop\Back Testing Framework\logs\"/>
    </mc:Choice>
  </mc:AlternateContent>
  <xr:revisionPtr revIDLastSave="0" documentId="13_ncr:1_{884B53AE-AA42-4EEB-A37B-BF81C6332F63}" xr6:coauthVersionLast="47" xr6:coauthVersionMax="47" xr10:uidLastSave="{00000000-0000-0000-0000-000000000000}"/>
  <bookViews>
    <workbookView xWindow="28680" yWindow="-120" windowWidth="29040" windowHeight="15720" xr2:uid="{EC9C3BBD-324A-4341-8E41-7BE3E030A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J7" i="1"/>
  <c r="J8" i="1"/>
  <c r="J9" i="1"/>
  <c r="J10" i="1"/>
  <c r="J11" i="1"/>
  <c r="J12" i="1"/>
  <c r="J13" i="1"/>
  <c r="J14" i="1"/>
  <c r="J15" i="1"/>
  <c r="J16" i="1"/>
  <c r="J17" i="1"/>
  <c r="J18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6" i="1"/>
  <c r="F39" i="1"/>
  <c r="E39" i="1"/>
  <c r="E40" i="1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6" i="1"/>
  <c r="C39" i="1"/>
  <c r="B39" i="1"/>
  <c r="D7" i="1"/>
  <c r="D8" i="1"/>
  <c r="D9" i="1"/>
  <c r="D10" i="1"/>
  <c r="D11" i="1"/>
  <c r="D12" i="1"/>
  <c r="D13" i="1"/>
  <c r="D14" i="1"/>
  <c r="D15" i="1"/>
  <c r="D16" i="1"/>
  <c r="D17" i="1"/>
  <c r="D18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6" i="1"/>
  <c r="G39" i="1" l="1"/>
  <c r="D39" i="1"/>
  <c r="B40" i="1"/>
</calcChain>
</file>

<file path=xl/sharedStrings.xml><?xml version="1.0" encoding="utf-8"?>
<sst xmlns="http://schemas.openxmlformats.org/spreadsheetml/2006/main" count="47" uniqueCount="47">
  <si>
    <t>Optimised</t>
  </si>
  <si>
    <t>Base</t>
  </si>
  <si>
    <t>Win</t>
  </si>
  <si>
    <t>Loss</t>
  </si>
  <si>
    <t>Win Rate %</t>
  </si>
  <si>
    <t>Ticker</t>
  </si>
  <si>
    <t xml:space="preserve"> AMZN                   </t>
  </si>
  <si>
    <t xml:space="preserve"> CAT                       </t>
  </si>
  <si>
    <t xml:space="preserve"> LLY        </t>
  </si>
  <si>
    <t xml:space="preserve"> SPGI     </t>
  </si>
  <si>
    <t xml:space="preserve"> NVDA                  </t>
  </si>
  <si>
    <t xml:space="preserve"> GOOG                </t>
  </si>
  <si>
    <t xml:space="preserve"> TMUS           </t>
  </si>
  <si>
    <t xml:space="preserve"> MCK                   </t>
  </si>
  <si>
    <t xml:space="preserve"> XOM    </t>
  </si>
  <si>
    <t xml:space="preserve"> JPM     </t>
  </si>
  <si>
    <t xml:space="preserve"> NEE       </t>
  </si>
  <si>
    <t xml:space="preserve"> ARMK                   </t>
  </si>
  <si>
    <t xml:space="preserve"> GTLS                      </t>
  </si>
  <si>
    <t xml:space="preserve"> QGEN       </t>
  </si>
  <si>
    <t xml:space="preserve"> BZ       </t>
  </si>
  <si>
    <t xml:space="preserve"> AMKR                  </t>
  </si>
  <si>
    <t xml:space="preserve"> KVYO                </t>
  </si>
  <si>
    <t xml:space="preserve"> FYBR           </t>
  </si>
  <si>
    <t xml:space="preserve"> AIT                   </t>
  </si>
  <si>
    <t xml:space="preserve"> WCP    </t>
  </si>
  <si>
    <t xml:space="preserve"> SSB     </t>
  </si>
  <si>
    <t xml:space="preserve"> AES       </t>
  </si>
  <si>
    <t xml:space="preserve"> BLBD                   </t>
  </si>
  <si>
    <t xml:space="preserve"> SLVM                      </t>
  </si>
  <si>
    <t xml:space="preserve"> ATRC       </t>
  </si>
  <si>
    <t xml:space="preserve"> SBET     </t>
  </si>
  <si>
    <t xml:space="preserve"> PLAB                  </t>
  </si>
  <si>
    <t xml:space="preserve"> AI                  </t>
  </si>
  <si>
    <t xml:space="preserve"> IRDM           </t>
  </si>
  <si>
    <t xml:space="preserve"> CURY                  </t>
  </si>
  <si>
    <t xml:space="preserve"> PARR   </t>
  </si>
  <si>
    <t xml:space="preserve"> SYBT    </t>
  </si>
  <si>
    <t xml:space="preserve"> NWN       </t>
  </si>
  <si>
    <t>Win2</t>
  </si>
  <si>
    <t>Loss3</t>
  </si>
  <si>
    <t>Win Rate %4</t>
  </si>
  <si>
    <t>Total</t>
  </si>
  <si>
    <t>Difference</t>
  </si>
  <si>
    <t>Win_Diff</t>
  </si>
  <si>
    <t>Loss_Diff</t>
  </si>
  <si>
    <t>Rate_Diff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</si>
</sst>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1" fillId="3" borderId="0" xfId="3"/>
    <xf numFmtId="9" fontId="0" fillId="0" borderId="0" xfId="1" applyFont="1"/>
    <xf numFmtId="9" fontId="1" fillId="3" borderId="0" xfId="3" applyNumberFormat="1"/>
    <xf numFmtId="9" fontId="0" fillId="0" borderId="0" xfId="0" applyNumberFormat="1"/>
    <xf numFmtId="0" fontId="2" fillId="2" borderId="0" xfId="2" applyAlignment="1">
      <alignment horizontal="center"/>
    </xf>
    <xf numFmtId="0" fontId="1" fillId="3" borderId="0" xfId="3" applyAlignment="1">
      <alignment horizontal="center"/>
    </xf>
  </cellXfs>
  <cellStyles count="4">
    <cellStyle name="60% - Accent1" xfId="3" builtinId="32"/>
    <cellStyle name="Accent1" xfId="2" builtinId="29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DF531F-C96B-48B9-9668-9E9681F8FDF0}" name="Table1" displayName="Table1" ref="A5:J39" totalsRowShown="0">
  <autoFilter ref="A5:J39" xr:uid="{80DF531F-C96B-48B9-9668-9E9681F8FDF0}"/>
  <tableColumns count="10">
    <tableColumn id="1" xr3:uid="{82EE09E6-1DA5-43C7-82A9-34EBC8E9FAA9}" name="Ticker"/>
    <tableColumn id="2" xr3:uid="{83B43870-3AFF-48DA-9962-9ADC7D8C4A5C}" name="Win"/>
    <tableColumn id="3" xr3:uid="{6AD31595-AC7D-4170-BFEA-4B8E8E82257E}" name="Loss"/>
    <tableColumn id="4" xr3:uid="{3A61C397-DAAE-4DBE-A26A-AB7FE02DAE45}" name="Win Rate %" dataCellStyle="Per cent">
      <calculatedColumnFormula>Table1[[#This Row],[Win]]/(Table1[[#This Row],[Win]]+Table1[[#This Row],[Loss]])</calculatedColumnFormula>
    </tableColumn>
    <tableColumn id="5" xr3:uid="{2D031F7F-2399-43E1-B48F-0C4D62E3820E}" name="Win2"/>
    <tableColumn id="6" xr3:uid="{D7D76A0C-307A-4887-8F01-64C0817CD1D1}" name="Loss3"/>
    <tableColumn id="7" xr3:uid="{5DE2DB66-B013-47AE-A501-1080585E95A2}" name="Win Rate %4"/>
    <tableColumn id="8" xr3:uid="{AC8F9CB6-6534-41B0-BD5B-3187A73C3C2F}" name="Win_Diff"/>
    <tableColumn id="9" xr3:uid="{3F989BF1-6398-4C05-9BCB-5D283791559E}" name="Loss_Diff"/>
    <tableColumn id="10" xr3:uid="{99A77309-FE6F-4E76-9E7C-474269E13A5F}" name="Rate_Dif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ED51-8143-4961-B5E8-75C9B4C70FB4}">
  <dimension ref="A4:J40"/>
  <sheetViews>
    <sheetView tabSelected="1" topLeftCell="A4" workbookViewId="0">
      <selection activeCell="M26" sqref="M26"/>
    </sheetView>
  </sheetViews>
  <sheetFormatPr defaultRowHeight="15" x14ac:dyDescent="0.25"/>
  <cols>
    <col min="1" max="1" width="15.140625" customWidth="1"/>
    <col min="2" max="2" width="18.140625" customWidth="1"/>
    <col min="3" max="3" width="13.28515625" customWidth="1"/>
    <col min="4" max="4" width="21.140625" customWidth="1"/>
    <col min="5" max="5" width="13.85546875" customWidth="1"/>
    <col min="6" max="6" width="13" customWidth="1"/>
    <col min="7" max="7" width="18.140625" customWidth="1"/>
    <col min="8" max="8" width="15.7109375" customWidth="1"/>
    <col min="9" max="9" width="18.85546875" customWidth="1"/>
    <col min="10" max="10" width="19.140625" customWidth="1"/>
  </cols>
  <sheetData>
    <row r="4" spans="1:10" x14ac:dyDescent="0.25">
      <c r="B4" s="5" t="s">
        <v>0</v>
      </c>
      <c r="C4" s="5"/>
      <c r="D4" s="5"/>
      <c r="E4" s="6" t="s">
        <v>1</v>
      </c>
      <c r="F4" s="6"/>
      <c r="G4" s="6"/>
      <c r="H4" s="5" t="s">
        <v>43</v>
      </c>
      <c r="I4" s="5"/>
      <c r="J4" s="5"/>
    </row>
    <row r="5" spans="1:10" x14ac:dyDescent="0.25">
      <c r="A5" s="1" t="s">
        <v>5</v>
      </c>
      <c r="B5" t="s">
        <v>2</v>
      </c>
      <c r="C5" t="s">
        <v>3</v>
      </c>
      <c r="D5" t="s">
        <v>4</v>
      </c>
      <c r="E5" s="1" t="s">
        <v>39</v>
      </c>
      <c r="F5" s="1" t="s">
        <v>40</v>
      </c>
      <c r="G5" s="1" t="s">
        <v>41</v>
      </c>
      <c r="H5" t="s">
        <v>44</v>
      </c>
      <c r="I5" t="s">
        <v>45</v>
      </c>
      <c r="J5" t="s">
        <v>46</v>
      </c>
    </row>
    <row r="6" spans="1:10" x14ac:dyDescent="0.25">
      <c r="A6" t="s">
        <v>6</v>
      </c>
      <c r="B6">
        <v>5</v>
      </c>
      <c r="C6">
        <v>7</v>
      </c>
      <c r="D6" s="2">
        <f>Table1[[#This Row],[Win]]/(Table1[[#This Row],[Win]]+Table1[[#This Row],[Loss]])</f>
        <v>0.41666666666666669</v>
      </c>
      <c r="E6">
        <v>20</v>
      </c>
      <c r="F6">
        <v>33</v>
      </c>
      <c r="G6" s="2">
        <f>Table1[[#This Row],[Win2]]/(Table1[[#This Row],[Win2]]+Table1[[#This Row],[Loss3]])</f>
        <v>0.37735849056603776</v>
      </c>
      <c r="H6">
        <f>Table1[[#This Row],[Win]]-Table1[[#This Row],[Win2]]</f>
        <v>-15</v>
      </c>
      <c r="I6">
        <f>Table1[[#This Row],[Loss]]-Table1[[#This Row],[Loss3]]</f>
        <v>-26</v>
      </c>
      <c r="J6" s="4">
        <f>Table1[[#This Row],[Win Rate %]]-Table1[[#This Row],[Win Rate %4]]</f>
        <v>3.9308176100628922E-2</v>
      </c>
    </row>
    <row r="7" spans="1:10" x14ac:dyDescent="0.25">
      <c r="A7" t="s">
        <v>7</v>
      </c>
      <c r="B7">
        <v>3</v>
      </c>
      <c r="C7">
        <v>4</v>
      </c>
      <c r="D7" s="2">
        <f>Table1[[#This Row],[Win]]/(Table1[[#This Row],[Win]]+Table1[[#This Row],[Loss]])</f>
        <v>0.42857142857142855</v>
      </c>
      <c r="E7">
        <v>23</v>
      </c>
      <c r="F7">
        <v>31</v>
      </c>
      <c r="G7" s="2">
        <f>Table1[[#This Row],[Win2]]/(Table1[[#This Row],[Win2]]+Table1[[#This Row],[Loss3]])</f>
        <v>0.42592592592592593</v>
      </c>
      <c r="H7">
        <f>Table1[[#This Row],[Win]]-Table1[[#This Row],[Win2]]</f>
        <v>-20</v>
      </c>
      <c r="I7">
        <f>Table1[[#This Row],[Loss]]-Table1[[#This Row],[Loss3]]</f>
        <v>-27</v>
      </c>
      <c r="J7" s="4">
        <f>Table1[[#This Row],[Win Rate %]]-Table1[[#This Row],[Win Rate %4]]</f>
        <v>2.6455026455026176E-3</v>
      </c>
    </row>
    <row r="8" spans="1:10" x14ac:dyDescent="0.25">
      <c r="A8" t="s">
        <v>8</v>
      </c>
      <c r="B8">
        <v>0</v>
      </c>
      <c r="C8">
        <v>2</v>
      </c>
      <c r="D8" s="2">
        <f>Table1[[#This Row],[Win]]/(Table1[[#This Row],[Win]]+Table1[[#This Row],[Loss]])</f>
        <v>0</v>
      </c>
      <c r="E8">
        <v>26</v>
      </c>
      <c r="F8">
        <v>20</v>
      </c>
      <c r="G8" s="2">
        <f>Table1[[#This Row],[Win2]]/(Table1[[#This Row],[Win2]]+Table1[[#This Row],[Loss3]])</f>
        <v>0.56521739130434778</v>
      </c>
      <c r="H8">
        <f>Table1[[#This Row],[Win]]-Table1[[#This Row],[Win2]]</f>
        <v>-26</v>
      </c>
      <c r="I8">
        <f>Table1[[#This Row],[Loss]]-Table1[[#This Row],[Loss3]]</f>
        <v>-18</v>
      </c>
      <c r="J8" s="4">
        <f>Table1[[#This Row],[Win Rate %]]-Table1[[#This Row],[Win Rate %4]]</f>
        <v>-0.56521739130434778</v>
      </c>
    </row>
    <row r="9" spans="1:10" x14ac:dyDescent="0.25">
      <c r="A9" t="s">
        <v>9</v>
      </c>
      <c r="B9">
        <v>1</v>
      </c>
      <c r="C9">
        <v>1</v>
      </c>
      <c r="D9" s="2">
        <f>Table1[[#This Row],[Win]]/(Table1[[#This Row],[Win]]+Table1[[#This Row],[Loss]])</f>
        <v>0.5</v>
      </c>
      <c r="E9">
        <v>26</v>
      </c>
      <c r="F9">
        <v>18</v>
      </c>
      <c r="G9" s="2">
        <f>Table1[[#This Row],[Win2]]/(Table1[[#This Row],[Win2]]+Table1[[#This Row],[Loss3]])</f>
        <v>0.59090909090909094</v>
      </c>
      <c r="H9">
        <f>Table1[[#This Row],[Win]]-Table1[[#This Row],[Win2]]</f>
        <v>-25</v>
      </c>
      <c r="I9">
        <f>Table1[[#This Row],[Loss]]-Table1[[#This Row],[Loss3]]</f>
        <v>-17</v>
      </c>
      <c r="J9" s="4">
        <f>Table1[[#This Row],[Win Rate %]]-Table1[[#This Row],[Win Rate %4]]</f>
        <v>-9.0909090909090939E-2</v>
      </c>
    </row>
    <row r="10" spans="1:10" x14ac:dyDescent="0.25">
      <c r="A10" t="s">
        <v>10</v>
      </c>
      <c r="B10">
        <v>9</v>
      </c>
      <c r="C10">
        <v>16</v>
      </c>
      <c r="D10" s="2">
        <f>Table1[[#This Row],[Win]]/(Table1[[#This Row],[Win]]+Table1[[#This Row],[Loss]])</f>
        <v>0.36</v>
      </c>
      <c r="E10">
        <v>17</v>
      </c>
      <c r="F10">
        <v>31</v>
      </c>
      <c r="G10" s="2">
        <f>Table1[[#This Row],[Win2]]/(Table1[[#This Row],[Win2]]+Table1[[#This Row],[Loss3]])</f>
        <v>0.35416666666666669</v>
      </c>
      <c r="H10">
        <f>Table1[[#This Row],[Win]]-Table1[[#This Row],[Win2]]</f>
        <v>-8</v>
      </c>
      <c r="I10">
        <f>Table1[[#This Row],[Loss]]-Table1[[#This Row],[Loss3]]</f>
        <v>-15</v>
      </c>
      <c r="J10" s="4">
        <f>Table1[[#This Row],[Win Rate %]]-Table1[[#This Row],[Win Rate %4]]</f>
        <v>5.8333333333333015E-3</v>
      </c>
    </row>
    <row r="11" spans="1:10" x14ac:dyDescent="0.25">
      <c r="A11" t="s">
        <v>11</v>
      </c>
      <c r="B11">
        <v>2</v>
      </c>
      <c r="C11">
        <v>3</v>
      </c>
      <c r="D11" s="2">
        <f>Table1[[#This Row],[Win]]/(Table1[[#This Row],[Win]]+Table1[[#This Row],[Loss]])</f>
        <v>0.4</v>
      </c>
      <c r="E11">
        <v>19</v>
      </c>
      <c r="F11">
        <v>18</v>
      </c>
      <c r="G11" s="2">
        <f>Table1[[#This Row],[Win2]]/(Table1[[#This Row],[Win2]]+Table1[[#This Row],[Loss3]])</f>
        <v>0.51351351351351349</v>
      </c>
      <c r="H11">
        <f>Table1[[#This Row],[Win]]-Table1[[#This Row],[Win2]]</f>
        <v>-17</v>
      </c>
      <c r="I11">
        <f>Table1[[#This Row],[Loss]]-Table1[[#This Row],[Loss3]]</f>
        <v>-15</v>
      </c>
      <c r="J11" s="4">
        <f>Table1[[#This Row],[Win Rate %]]-Table1[[#This Row],[Win Rate %4]]</f>
        <v>-0.11351351351351346</v>
      </c>
    </row>
    <row r="12" spans="1:10" x14ac:dyDescent="0.25">
      <c r="A12" t="s">
        <v>12</v>
      </c>
      <c r="B12">
        <v>4</v>
      </c>
      <c r="C12">
        <v>3</v>
      </c>
      <c r="D12" s="2">
        <f>Table1[[#This Row],[Win]]/(Table1[[#This Row],[Win]]+Table1[[#This Row],[Loss]])</f>
        <v>0.5714285714285714</v>
      </c>
      <c r="E12">
        <v>18</v>
      </c>
      <c r="F12">
        <v>27</v>
      </c>
      <c r="G12" s="2">
        <f>Table1[[#This Row],[Win2]]/(Table1[[#This Row],[Win2]]+Table1[[#This Row],[Loss3]])</f>
        <v>0.4</v>
      </c>
      <c r="H12">
        <f>Table1[[#This Row],[Win]]-Table1[[#This Row],[Win2]]</f>
        <v>-14</v>
      </c>
      <c r="I12">
        <f>Table1[[#This Row],[Loss]]-Table1[[#This Row],[Loss3]]</f>
        <v>-24</v>
      </c>
      <c r="J12" s="4">
        <f>Table1[[#This Row],[Win Rate %]]-Table1[[#This Row],[Win Rate %4]]</f>
        <v>0.17142857142857137</v>
      </c>
    </row>
    <row r="13" spans="1:10" x14ac:dyDescent="0.25">
      <c r="A13" t="s">
        <v>13</v>
      </c>
      <c r="B13">
        <v>1</v>
      </c>
      <c r="C13">
        <v>0</v>
      </c>
      <c r="D13" s="2">
        <f>Table1[[#This Row],[Win]]/(Table1[[#This Row],[Win]]+Table1[[#This Row],[Loss]])</f>
        <v>1</v>
      </c>
      <c r="E13">
        <v>18</v>
      </c>
      <c r="F13">
        <v>30</v>
      </c>
      <c r="G13" s="2">
        <f>Table1[[#This Row],[Win2]]/(Table1[[#This Row],[Win2]]+Table1[[#This Row],[Loss3]])</f>
        <v>0.375</v>
      </c>
      <c r="H13">
        <f>Table1[[#This Row],[Win]]-Table1[[#This Row],[Win2]]</f>
        <v>-17</v>
      </c>
      <c r="I13">
        <f>Table1[[#This Row],[Loss]]-Table1[[#This Row],[Loss3]]</f>
        <v>-30</v>
      </c>
      <c r="J13" s="4">
        <f>Table1[[#This Row],[Win Rate %]]-Table1[[#This Row],[Win Rate %4]]</f>
        <v>0.625</v>
      </c>
    </row>
    <row r="14" spans="1:10" x14ac:dyDescent="0.25">
      <c r="A14" t="s">
        <v>14</v>
      </c>
      <c r="B14">
        <v>1</v>
      </c>
      <c r="C14">
        <v>1</v>
      </c>
      <c r="D14" s="2">
        <f>Table1[[#This Row],[Win]]/(Table1[[#This Row],[Win]]+Table1[[#This Row],[Loss]])</f>
        <v>0.5</v>
      </c>
      <c r="E14">
        <v>21</v>
      </c>
      <c r="F14">
        <v>28</v>
      </c>
      <c r="G14" s="2">
        <f>Table1[[#This Row],[Win2]]/(Table1[[#This Row],[Win2]]+Table1[[#This Row],[Loss3]])</f>
        <v>0.42857142857142855</v>
      </c>
      <c r="H14">
        <f>Table1[[#This Row],[Win]]-Table1[[#This Row],[Win2]]</f>
        <v>-20</v>
      </c>
      <c r="I14">
        <f>Table1[[#This Row],[Loss]]-Table1[[#This Row],[Loss3]]</f>
        <v>-27</v>
      </c>
      <c r="J14" s="4">
        <f>Table1[[#This Row],[Win Rate %]]-Table1[[#This Row],[Win Rate %4]]</f>
        <v>7.1428571428571452E-2</v>
      </c>
    </row>
    <row r="15" spans="1:10" x14ac:dyDescent="0.25">
      <c r="A15" t="s">
        <v>15</v>
      </c>
      <c r="B15">
        <v>2</v>
      </c>
      <c r="C15">
        <v>4</v>
      </c>
      <c r="D15" s="2">
        <f>Table1[[#This Row],[Win]]/(Table1[[#This Row],[Win]]+Table1[[#This Row],[Loss]])</f>
        <v>0.33333333333333331</v>
      </c>
      <c r="E15">
        <v>21</v>
      </c>
      <c r="F15">
        <v>34</v>
      </c>
      <c r="G15" s="2">
        <f>Table1[[#This Row],[Win2]]/(Table1[[#This Row],[Win2]]+Table1[[#This Row],[Loss3]])</f>
        <v>0.38181818181818183</v>
      </c>
      <c r="H15">
        <f>Table1[[#This Row],[Win]]-Table1[[#This Row],[Win2]]</f>
        <v>-19</v>
      </c>
      <c r="I15">
        <f>Table1[[#This Row],[Loss]]-Table1[[#This Row],[Loss3]]</f>
        <v>-30</v>
      </c>
      <c r="J15" s="4">
        <f>Table1[[#This Row],[Win Rate %]]-Table1[[#This Row],[Win Rate %4]]</f>
        <v>-4.848484848484852E-2</v>
      </c>
    </row>
    <row r="16" spans="1:10" x14ac:dyDescent="0.25">
      <c r="A16" t="s">
        <v>16</v>
      </c>
      <c r="B16">
        <v>1</v>
      </c>
      <c r="C16">
        <v>0</v>
      </c>
      <c r="D16" s="2">
        <f>Table1[[#This Row],[Win]]/(Table1[[#This Row],[Win]]+Table1[[#This Row],[Loss]])</f>
        <v>1</v>
      </c>
      <c r="E16">
        <v>20</v>
      </c>
      <c r="F16">
        <v>28</v>
      </c>
      <c r="G16" s="2">
        <f>Table1[[#This Row],[Win2]]/(Table1[[#This Row],[Win2]]+Table1[[#This Row],[Loss3]])</f>
        <v>0.41666666666666669</v>
      </c>
      <c r="H16">
        <f>Table1[[#This Row],[Win]]-Table1[[#This Row],[Win2]]</f>
        <v>-19</v>
      </c>
      <c r="I16">
        <f>Table1[[#This Row],[Loss]]-Table1[[#This Row],[Loss3]]</f>
        <v>-28</v>
      </c>
      <c r="J16" s="4">
        <f>Table1[[#This Row],[Win Rate %]]-Table1[[#This Row],[Win Rate %4]]</f>
        <v>0.58333333333333326</v>
      </c>
    </row>
    <row r="17" spans="1:10" x14ac:dyDescent="0.25">
      <c r="A17" t="s">
        <v>17</v>
      </c>
      <c r="B17">
        <v>2</v>
      </c>
      <c r="C17">
        <v>2</v>
      </c>
      <c r="D17" s="2">
        <f>Table1[[#This Row],[Win]]/(Table1[[#This Row],[Win]]+Table1[[#This Row],[Loss]])</f>
        <v>0.5</v>
      </c>
      <c r="E17">
        <v>14</v>
      </c>
      <c r="F17">
        <v>23</v>
      </c>
      <c r="G17" s="2">
        <f>Table1[[#This Row],[Win2]]/(Table1[[#This Row],[Win2]]+Table1[[#This Row],[Loss3]])</f>
        <v>0.3783783783783784</v>
      </c>
      <c r="H17">
        <f>Table1[[#This Row],[Win]]-Table1[[#This Row],[Win2]]</f>
        <v>-12</v>
      </c>
      <c r="I17">
        <f>Table1[[#This Row],[Loss]]-Table1[[#This Row],[Loss3]]</f>
        <v>-21</v>
      </c>
      <c r="J17" s="4">
        <f>Table1[[#This Row],[Win Rate %]]-Table1[[#This Row],[Win Rate %4]]</f>
        <v>0.1216216216216216</v>
      </c>
    </row>
    <row r="18" spans="1:10" x14ac:dyDescent="0.25">
      <c r="A18" t="s">
        <v>18</v>
      </c>
      <c r="B18">
        <v>15</v>
      </c>
      <c r="C18">
        <v>21</v>
      </c>
      <c r="D18" s="2">
        <f>Table1[[#This Row],[Win]]/(Table1[[#This Row],[Win]]+Table1[[#This Row],[Loss]])</f>
        <v>0.41666666666666669</v>
      </c>
      <c r="E18">
        <v>21</v>
      </c>
      <c r="F18">
        <v>26</v>
      </c>
      <c r="G18" s="2">
        <f>Table1[[#This Row],[Win2]]/(Table1[[#This Row],[Win2]]+Table1[[#This Row],[Loss3]])</f>
        <v>0.44680851063829785</v>
      </c>
      <c r="H18">
        <f>Table1[[#This Row],[Win]]-Table1[[#This Row],[Win2]]</f>
        <v>-6</v>
      </c>
      <c r="I18">
        <f>Table1[[#This Row],[Loss]]-Table1[[#This Row],[Loss3]]</f>
        <v>-5</v>
      </c>
      <c r="J18" s="4">
        <f>Table1[[#This Row],[Win Rate %]]-Table1[[#This Row],[Win Rate %4]]</f>
        <v>-3.0141843971631166E-2</v>
      </c>
    </row>
    <row r="19" spans="1:10" x14ac:dyDescent="0.25">
      <c r="A19" t="s">
        <v>19</v>
      </c>
      <c r="B19">
        <v>0</v>
      </c>
      <c r="C19">
        <v>0</v>
      </c>
      <c r="D19" s="2"/>
      <c r="E19">
        <v>23</v>
      </c>
      <c r="F19">
        <v>39</v>
      </c>
      <c r="G19" s="2">
        <f>Table1[[#This Row],[Win2]]/(Table1[[#This Row],[Win2]]+Table1[[#This Row],[Loss3]])</f>
        <v>0.37096774193548387</v>
      </c>
      <c r="H19">
        <f>Table1[[#This Row],[Win]]-Table1[[#This Row],[Win2]]</f>
        <v>-23</v>
      </c>
      <c r="I19">
        <f>Table1[[#This Row],[Loss]]-Table1[[#This Row],[Loss3]]</f>
        <v>-39</v>
      </c>
      <c r="J19" s="4">
        <v>-0.37</v>
      </c>
    </row>
    <row r="20" spans="1:10" x14ac:dyDescent="0.25">
      <c r="A20" t="s">
        <v>20</v>
      </c>
      <c r="B20">
        <v>5</v>
      </c>
      <c r="C20">
        <v>9</v>
      </c>
      <c r="D20" s="2">
        <f>Table1[[#This Row],[Win]]/(Table1[[#This Row],[Win]]+Table1[[#This Row],[Loss]])</f>
        <v>0.35714285714285715</v>
      </c>
      <c r="E20">
        <v>4</v>
      </c>
      <c r="F20">
        <v>9</v>
      </c>
      <c r="G20" s="2">
        <f>Table1[[#This Row],[Win2]]/(Table1[[#This Row],[Win2]]+Table1[[#This Row],[Loss3]])</f>
        <v>0.30769230769230771</v>
      </c>
      <c r="H20">
        <f>Table1[[#This Row],[Win]]-Table1[[#This Row],[Win2]]</f>
        <v>1</v>
      </c>
      <c r="I20">
        <f>Table1[[#This Row],[Loss]]-Table1[[#This Row],[Loss3]]</f>
        <v>0</v>
      </c>
      <c r="J20" s="4">
        <f>Table1[[#This Row],[Win Rate %]]-Table1[[#This Row],[Win Rate %4]]</f>
        <v>4.9450549450549441E-2</v>
      </c>
    </row>
    <row r="21" spans="1:10" x14ac:dyDescent="0.25">
      <c r="A21" t="s">
        <v>21</v>
      </c>
      <c r="B21">
        <v>13</v>
      </c>
      <c r="C21">
        <v>20</v>
      </c>
      <c r="D21" s="2">
        <f>Table1[[#This Row],[Win]]/(Table1[[#This Row],[Win]]+Table1[[#This Row],[Loss]])</f>
        <v>0.39393939393939392</v>
      </c>
      <c r="E21">
        <v>21</v>
      </c>
      <c r="F21">
        <v>29</v>
      </c>
      <c r="G21" s="2">
        <f>Table1[[#This Row],[Win2]]/(Table1[[#This Row],[Win2]]+Table1[[#This Row],[Loss3]])</f>
        <v>0.42</v>
      </c>
      <c r="H21">
        <f>Table1[[#This Row],[Win]]-Table1[[#This Row],[Win2]]</f>
        <v>-8</v>
      </c>
      <c r="I21">
        <f>Table1[[#This Row],[Loss]]-Table1[[#This Row],[Loss3]]</f>
        <v>-9</v>
      </c>
      <c r="J21" s="4">
        <f>Table1[[#This Row],[Win Rate %]]-Table1[[#This Row],[Win Rate %4]]</f>
        <v>-2.6060606060606062E-2</v>
      </c>
    </row>
    <row r="22" spans="1:10" x14ac:dyDescent="0.25">
      <c r="A22" t="s">
        <v>22</v>
      </c>
      <c r="B22">
        <v>2</v>
      </c>
      <c r="C22">
        <v>3</v>
      </c>
      <c r="D22" s="2">
        <f>Table1[[#This Row],[Win]]/(Table1[[#This Row],[Win]]+Table1[[#This Row],[Loss]])</f>
        <v>0.4</v>
      </c>
      <c r="E22">
        <v>2</v>
      </c>
      <c r="F22">
        <v>3</v>
      </c>
      <c r="G22" s="2">
        <f>Table1[[#This Row],[Win2]]/(Table1[[#This Row],[Win2]]+Table1[[#This Row],[Loss3]])</f>
        <v>0.4</v>
      </c>
      <c r="H22">
        <f>Table1[[#This Row],[Win]]-Table1[[#This Row],[Win2]]</f>
        <v>0</v>
      </c>
      <c r="I22">
        <f>Table1[[#This Row],[Loss]]-Table1[[#This Row],[Loss3]]</f>
        <v>0</v>
      </c>
      <c r="J22" s="4">
        <f>Table1[[#This Row],[Win Rate %]]-Table1[[#This Row],[Win Rate %4]]</f>
        <v>0</v>
      </c>
    </row>
    <row r="23" spans="1:10" x14ac:dyDescent="0.25">
      <c r="A23" t="s">
        <v>23</v>
      </c>
      <c r="B23">
        <v>1</v>
      </c>
      <c r="C23">
        <v>9</v>
      </c>
      <c r="D23" s="2">
        <f>Table1[[#This Row],[Win]]/(Table1[[#This Row],[Win]]+Table1[[#This Row],[Loss]])</f>
        <v>0.1</v>
      </c>
      <c r="E23">
        <v>4</v>
      </c>
      <c r="F23">
        <v>8</v>
      </c>
      <c r="G23" s="2">
        <f>Table1[[#This Row],[Win2]]/(Table1[[#This Row],[Win2]]+Table1[[#This Row],[Loss3]])</f>
        <v>0.33333333333333331</v>
      </c>
      <c r="H23">
        <f>Table1[[#This Row],[Win]]-Table1[[#This Row],[Win2]]</f>
        <v>-3</v>
      </c>
      <c r="I23">
        <f>Table1[[#This Row],[Loss]]-Table1[[#This Row],[Loss3]]</f>
        <v>1</v>
      </c>
      <c r="J23" s="4">
        <f>Table1[[#This Row],[Win Rate %]]-Table1[[#This Row],[Win Rate %4]]</f>
        <v>-0.23333333333333331</v>
      </c>
    </row>
    <row r="24" spans="1:10" x14ac:dyDescent="0.25">
      <c r="A24" t="s">
        <v>24</v>
      </c>
      <c r="B24">
        <v>1</v>
      </c>
      <c r="C24">
        <v>3</v>
      </c>
      <c r="D24" s="2">
        <f>Table1[[#This Row],[Win]]/(Table1[[#This Row],[Win]]+Table1[[#This Row],[Loss]])</f>
        <v>0.25</v>
      </c>
      <c r="E24">
        <v>20</v>
      </c>
      <c r="F24">
        <v>33</v>
      </c>
      <c r="G24" s="2">
        <f>Table1[[#This Row],[Win2]]/(Table1[[#This Row],[Win2]]+Table1[[#This Row],[Loss3]])</f>
        <v>0.37735849056603776</v>
      </c>
      <c r="H24">
        <f>Table1[[#This Row],[Win]]-Table1[[#This Row],[Win2]]</f>
        <v>-19</v>
      </c>
      <c r="I24">
        <f>Table1[[#This Row],[Loss]]-Table1[[#This Row],[Loss3]]</f>
        <v>-30</v>
      </c>
      <c r="J24" s="4">
        <f>Table1[[#This Row],[Win Rate %]]-Table1[[#This Row],[Win Rate %4]]</f>
        <v>-0.12735849056603776</v>
      </c>
    </row>
    <row r="25" spans="1:10" x14ac:dyDescent="0.25">
      <c r="A25" t="s">
        <v>25</v>
      </c>
      <c r="B25">
        <v>11</v>
      </c>
      <c r="C25">
        <v>13</v>
      </c>
      <c r="D25" s="2">
        <f>Table1[[#This Row],[Win]]/(Table1[[#This Row],[Win]]+Table1[[#This Row],[Loss]])</f>
        <v>0.45833333333333331</v>
      </c>
      <c r="E25">
        <v>22</v>
      </c>
      <c r="F25">
        <v>25</v>
      </c>
      <c r="G25" s="2">
        <f>Table1[[#This Row],[Win2]]/(Table1[[#This Row],[Win2]]+Table1[[#This Row],[Loss3]])</f>
        <v>0.46808510638297873</v>
      </c>
      <c r="H25">
        <f>Table1[[#This Row],[Win]]-Table1[[#This Row],[Win2]]</f>
        <v>-11</v>
      </c>
      <c r="I25">
        <f>Table1[[#This Row],[Loss]]-Table1[[#This Row],[Loss3]]</f>
        <v>-12</v>
      </c>
      <c r="J25" s="4">
        <f>Table1[[#This Row],[Win Rate %]]-Table1[[#This Row],[Win Rate %4]]</f>
        <v>-9.751773049645418E-3</v>
      </c>
    </row>
    <row r="26" spans="1:10" x14ac:dyDescent="0.25">
      <c r="A26" t="s">
        <v>26</v>
      </c>
      <c r="B26">
        <v>2</v>
      </c>
      <c r="C26">
        <v>6</v>
      </c>
      <c r="D26" s="2">
        <f>Table1[[#This Row],[Win]]/(Table1[[#This Row],[Win]]+Table1[[#This Row],[Loss]])</f>
        <v>0.25</v>
      </c>
      <c r="E26">
        <v>21</v>
      </c>
      <c r="F26">
        <v>29</v>
      </c>
      <c r="G26" s="2">
        <f>Table1[[#This Row],[Win2]]/(Table1[[#This Row],[Win2]]+Table1[[#This Row],[Loss3]])</f>
        <v>0.42</v>
      </c>
      <c r="H26">
        <f>Table1[[#This Row],[Win]]-Table1[[#This Row],[Win2]]</f>
        <v>-19</v>
      </c>
      <c r="I26">
        <f>Table1[[#This Row],[Loss]]-Table1[[#This Row],[Loss3]]</f>
        <v>-23</v>
      </c>
      <c r="J26" s="4">
        <f>Table1[[#This Row],[Win Rate %]]-Table1[[#This Row],[Win Rate %4]]</f>
        <v>-0.16999999999999998</v>
      </c>
    </row>
    <row r="27" spans="1:10" x14ac:dyDescent="0.25">
      <c r="A27" t="s">
        <v>27</v>
      </c>
      <c r="B27">
        <v>3</v>
      </c>
      <c r="C27">
        <v>7</v>
      </c>
      <c r="D27" s="2">
        <f>Table1[[#This Row],[Win]]/(Table1[[#This Row],[Win]]+Table1[[#This Row],[Loss]])</f>
        <v>0.3</v>
      </c>
      <c r="E27">
        <v>19</v>
      </c>
      <c r="F27">
        <v>27</v>
      </c>
      <c r="G27" s="2">
        <f>Table1[[#This Row],[Win2]]/(Table1[[#This Row],[Win2]]+Table1[[#This Row],[Loss3]])</f>
        <v>0.41304347826086957</v>
      </c>
      <c r="H27">
        <f>Table1[[#This Row],[Win]]-Table1[[#This Row],[Win2]]</f>
        <v>-16</v>
      </c>
      <c r="I27">
        <f>Table1[[#This Row],[Loss]]-Table1[[#This Row],[Loss3]]</f>
        <v>-20</v>
      </c>
      <c r="J27" s="4">
        <f>Table1[[#This Row],[Win Rate %]]-Table1[[#This Row],[Win Rate %4]]</f>
        <v>-0.11304347826086958</v>
      </c>
    </row>
    <row r="28" spans="1:10" x14ac:dyDescent="0.25">
      <c r="A28" t="s">
        <v>28</v>
      </c>
      <c r="B28">
        <v>13</v>
      </c>
      <c r="C28">
        <v>9</v>
      </c>
      <c r="D28" s="2">
        <f>Table1[[#This Row],[Win]]/(Table1[[#This Row],[Win]]+Table1[[#This Row],[Loss]])</f>
        <v>0.59090909090909094</v>
      </c>
      <c r="E28">
        <v>18</v>
      </c>
      <c r="F28">
        <v>12</v>
      </c>
      <c r="G28" s="2">
        <f>Table1[[#This Row],[Win2]]/(Table1[[#This Row],[Win2]]+Table1[[#This Row],[Loss3]])</f>
        <v>0.6</v>
      </c>
      <c r="H28">
        <f>Table1[[#This Row],[Win]]-Table1[[#This Row],[Win2]]</f>
        <v>-5</v>
      </c>
      <c r="I28">
        <f>Table1[[#This Row],[Loss]]-Table1[[#This Row],[Loss3]]</f>
        <v>-3</v>
      </c>
      <c r="J28" s="4">
        <f>Table1[[#This Row],[Win Rate %]]-Table1[[#This Row],[Win Rate %4]]</f>
        <v>-9.0909090909090384E-3</v>
      </c>
    </row>
    <row r="29" spans="1:10" x14ac:dyDescent="0.25">
      <c r="A29" t="s">
        <v>29</v>
      </c>
      <c r="B29">
        <v>5</v>
      </c>
      <c r="C29">
        <v>1</v>
      </c>
      <c r="D29" s="2">
        <f>Table1[[#This Row],[Win]]/(Table1[[#This Row],[Win]]+Table1[[#This Row],[Loss]])</f>
        <v>0.83333333333333337</v>
      </c>
      <c r="E29">
        <v>6</v>
      </c>
      <c r="F29">
        <v>4</v>
      </c>
      <c r="G29" s="2">
        <f>Table1[[#This Row],[Win2]]/(Table1[[#This Row],[Win2]]+Table1[[#This Row],[Loss3]])</f>
        <v>0.6</v>
      </c>
      <c r="H29">
        <f>Table1[[#This Row],[Win]]-Table1[[#This Row],[Win2]]</f>
        <v>-1</v>
      </c>
      <c r="I29">
        <f>Table1[[#This Row],[Loss]]-Table1[[#This Row],[Loss3]]</f>
        <v>-3</v>
      </c>
      <c r="J29" s="4">
        <f>Table1[[#This Row],[Win Rate %]]-Table1[[#This Row],[Win Rate %4]]</f>
        <v>0.23333333333333339</v>
      </c>
    </row>
    <row r="30" spans="1:10" x14ac:dyDescent="0.25">
      <c r="A30" t="s">
        <v>30</v>
      </c>
      <c r="B30">
        <v>14</v>
      </c>
      <c r="C30">
        <v>19</v>
      </c>
      <c r="D30" s="2">
        <f>Table1[[#This Row],[Win]]/(Table1[[#This Row],[Win]]+Table1[[#This Row],[Loss]])</f>
        <v>0.42424242424242425</v>
      </c>
      <c r="E30">
        <v>22</v>
      </c>
      <c r="F30">
        <v>19</v>
      </c>
      <c r="G30" s="2">
        <f>Table1[[#This Row],[Win2]]/(Table1[[#This Row],[Win2]]+Table1[[#This Row],[Loss3]])</f>
        <v>0.53658536585365857</v>
      </c>
      <c r="H30">
        <f>Table1[[#This Row],[Win]]-Table1[[#This Row],[Win2]]</f>
        <v>-8</v>
      </c>
      <c r="I30">
        <f>Table1[[#This Row],[Loss]]-Table1[[#This Row],[Loss3]]</f>
        <v>0</v>
      </c>
      <c r="J30" s="4">
        <f>Table1[[#This Row],[Win Rate %]]-Table1[[#This Row],[Win Rate %4]]</f>
        <v>-0.11234294161123431</v>
      </c>
    </row>
    <row r="31" spans="1:10" x14ac:dyDescent="0.25">
      <c r="A31" t="s">
        <v>31</v>
      </c>
      <c r="B31">
        <v>6</v>
      </c>
      <c r="C31">
        <v>23</v>
      </c>
      <c r="D31" s="2">
        <f>Table1[[#This Row],[Win]]/(Table1[[#This Row],[Win]]+Table1[[#This Row],[Loss]])</f>
        <v>0.20689655172413793</v>
      </c>
      <c r="E31">
        <v>6</v>
      </c>
      <c r="F31">
        <v>23</v>
      </c>
      <c r="G31" s="2">
        <f>Table1[[#This Row],[Win2]]/(Table1[[#This Row],[Win2]]+Table1[[#This Row],[Loss3]])</f>
        <v>0.20689655172413793</v>
      </c>
      <c r="H31">
        <f>Table1[[#This Row],[Win]]-Table1[[#This Row],[Win2]]</f>
        <v>0</v>
      </c>
      <c r="I31">
        <f>Table1[[#This Row],[Loss]]-Table1[[#This Row],[Loss3]]</f>
        <v>0</v>
      </c>
      <c r="J31" s="4">
        <f>Table1[[#This Row],[Win Rate %]]-Table1[[#This Row],[Win Rate %4]]</f>
        <v>0</v>
      </c>
    </row>
    <row r="32" spans="1:10" x14ac:dyDescent="0.25">
      <c r="A32" t="s">
        <v>32</v>
      </c>
      <c r="B32">
        <v>8</v>
      </c>
      <c r="C32">
        <v>24</v>
      </c>
      <c r="D32" s="2">
        <f>Table1[[#This Row],[Win]]/(Table1[[#This Row],[Win]]+Table1[[#This Row],[Loss]])</f>
        <v>0.25</v>
      </c>
      <c r="E32">
        <v>14</v>
      </c>
      <c r="F32">
        <v>41</v>
      </c>
      <c r="G32" s="2">
        <f>Table1[[#This Row],[Win2]]/(Table1[[#This Row],[Win2]]+Table1[[#This Row],[Loss3]])</f>
        <v>0.25454545454545452</v>
      </c>
      <c r="H32">
        <f>Table1[[#This Row],[Win]]-Table1[[#This Row],[Win2]]</f>
        <v>-6</v>
      </c>
      <c r="I32">
        <f>Table1[[#This Row],[Loss]]-Table1[[#This Row],[Loss3]]</f>
        <v>-17</v>
      </c>
      <c r="J32" s="4">
        <f>Table1[[#This Row],[Win Rate %]]-Table1[[#This Row],[Win Rate %4]]</f>
        <v>-4.5454545454545192E-3</v>
      </c>
    </row>
    <row r="33" spans="1:10" x14ac:dyDescent="0.25">
      <c r="A33" t="s">
        <v>33</v>
      </c>
      <c r="B33">
        <v>4</v>
      </c>
      <c r="C33">
        <v>9</v>
      </c>
      <c r="D33" s="2">
        <f>Table1[[#This Row],[Win]]/(Table1[[#This Row],[Win]]+Table1[[#This Row],[Loss]])</f>
        <v>0.30769230769230771</v>
      </c>
      <c r="E33">
        <v>4</v>
      </c>
      <c r="F33">
        <v>9</v>
      </c>
      <c r="G33" s="2">
        <f>Table1[[#This Row],[Win2]]/(Table1[[#This Row],[Win2]]+Table1[[#This Row],[Loss3]])</f>
        <v>0.30769230769230771</v>
      </c>
      <c r="H33">
        <f>Table1[[#This Row],[Win]]-Table1[[#This Row],[Win2]]</f>
        <v>0</v>
      </c>
      <c r="I33">
        <f>Table1[[#This Row],[Loss]]-Table1[[#This Row],[Loss3]]</f>
        <v>0</v>
      </c>
      <c r="J33" s="4">
        <f>Table1[[#This Row],[Win Rate %]]-Table1[[#This Row],[Win Rate %4]]</f>
        <v>0</v>
      </c>
    </row>
    <row r="34" spans="1:10" x14ac:dyDescent="0.25">
      <c r="A34" t="s">
        <v>34</v>
      </c>
      <c r="B34">
        <v>10</v>
      </c>
      <c r="C34">
        <v>21</v>
      </c>
      <c r="D34" s="2">
        <f>Table1[[#This Row],[Win]]/(Table1[[#This Row],[Win]]+Table1[[#This Row],[Loss]])</f>
        <v>0.32258064516129031</v>
      </c>
      <c r="E34">
        <v>11</v>
      </c>
      <c r="F34">
        <v>37</v>
      </c>
      <c r="G34" s="2">
        <f>Table1[[#This Row],[Win2]]/(Table1[[#This Row],[Win2]]+Table1[[#This Row],[Loss3]])</f>
        <v>0.22916666666666666</v>
      </c>
      <c r="H34">
        <f>Table1[[#This Row],[Win]]-Table1[[#This Row],[Win2]]</f>
        <v>-1</v>
      </c>
      <c r="I34">
        <f>Table1[[#This Row],[Loss]]-Table1[[#This Row],[Loss3]]</f>
        <v>-16</v>
      </c>
      <c r="J34" s="4">
        <f>Table1[[#This Row],[Win Rate %]]-Table1[[#This Row],[Win Rate %4]]</f>
        <v>9.3413978494623656E-2</v>
      </c>
    </row>
    <row r="35" spans="1:10" x14ac:dyDescent="0.25">
      <c r="A35" t="s">
        <v>35</v>
      </c>
      <c r="B35">
        <v>10</v>
      </c>
      <c r="C35">
        <v>12</v>
      </c>
      <c r="D35" s="2">
        <f>Table1[[#This Row],[Win]]/(Table1[[#This Row],[Win]]+Table1[[#This Row],[Loss]])</f>
        <v>0.45454545454545453</v>
      </c>
      <c r="E35">
        <v>19</v>
      </c>
      <c r="F35">
        <v>24</v>
      </c>
      <c r="G35" s="2">
        <f>Table1[[#This Row],[Win2]]/(Table1[[#This Row],[Win2]]+Table1[[#This Row],[Loss3]])</f>
        <v>0.44186046511627908</v>
      </c>
      <c r="H35">
        <f>Table1[[#This Row],[Win]]-Table1[[#This Row],[Win2]]</f>
        <v>-9</v>
      </c>
      <c r="I35">
        <f>Table1[[#This Row],[Loss]]-Table1[[#This Row],[Loss3]]</f>
        <v>-12</v>
      </c>
      <c r="J35" s="4">
        <f>Table1[[#This Row],[Win Rate %]]-Table1[[#This Row],[Win Rate %4]]</f>
        <v>1.2684989429175453E-2</v>
      </c>
    </row>
    <row r="36" spans="1:10" x14ac:dyDescent="0.25">
      <c r="A36" t="s">
        <v>36</v>
      </c>
      <c r="B36">
        <v>9</v>
      </c>
      <c r="C36">
        <v>11</v>
      </c>
      <c r="D36" s="2">
        <f>Table1[[#This Row],[Win]]/(Table1[[#This Row],[Win]]+Table1[[#This Row],[Loss]])</f>
        <v>0.45</v>
      </c>
      <c r="E36">
        <v>13</v>
      </c>
      <c r="F36">
        <v>18</v>
      </c>
      <c r="G36" s="2">
        <f>Table1[[#This Row],[Win2]]/(Table1[[#This Row],[Win2]]+Table1[[#This Row],[Loss3]])</f>
        <v>0.41935483870967744</v>
      </c>
      <c r="H36">
        <f>Table1[[#This Row],[Win]]-Table1[[#This Row],[Win2]]</f>
        <v>-4</v>
      </c>
      <c r="I36">
        <f>Table1[[#This Row],[Loss]]-Table1[[#This Row],[Loss3]]</f>
        <v>-7</v>
      </c>
      <c r="J36" s="4">
        <f>Table1[[#This Row],[Win Rate %]]-Table1[[#This Row],[Win Rate %4]]</f>
        <v>3.0645161290322576E-2</v>
      </c>
    </row>
    <row r="37" spans="1:10" x14ac:dyDescent="0.25">
      <c r="A37" t="s">
        <v>37</v>
      </c>
      <c r="B37">
        <v>4</v>
      </c>
      <c r="C37">
        <v>2</v>
      </c>
      <c r="D37" s="2">
        <f>Table1[[#This Row],[Win]]/(Table1[[#This Row],[Win]]+Table1[[#This Row],[Loss]])</f>
        <v>0.66666666666666663</v>
      </c>
      <c r="E37">
        <v>15</v>
      </c>
      <c r="F37">
        <v>24</v>
      </c>
      <c r="G37" s="2">
        <f>Table1[[#This Row],[Win2]]/(Table1[[#This Row],[Win2]]+Table1[[#This Row],[Loss3]])</f>
        <v>0.38461538461538464</v>
      </c>
      <c r="H37">
        <f>Table1[[#This Row],[Win]]-Table1[[#This Row],[Win2]]</f>
        <v>-11</v>
      </c>
      <c r="I37">
        <f>Table1[[#This Row],[Loss]]-Table1[[#This Row],[Loss3]]</f>
        <v>-22</v>
      </c>
      <c r="J37" s="4">
        <f>Table1[[#This Row],[Win Rate %]]-Table1[[#This Row],[Win Rate %4]]</f>
        <v>0.28205128205128199</v>
      </c>
    </row>
    <row r="38" spans="1:10" x14ac:dyDescent="0.25">
      <c r="A38" t="s">
        <v>38</v>
      </c>
      <c r="B38">
        <v>1</v>
      </c>
      <c r="C38">
        <v>1</v>
      </c>
      <c r="D38" s="2">
        <f>Table1[[#This Row],[Win]]/(Table1[[#This Row],[Win]]+Table1[[#This Row],[Loss]])</f>
        <v>0.5</v>
      </c>
      <c r="E38">
        <v>19</v>
      </c>
      <c r="F38">
        <v>31</v>
      </c>
      <c r="G38" s="2">
        <f>Table1[[#This Row],[Win2]]/(Table1[[#This Row],[Win2]]+Table1[[#This Row],[Loss3]])</f>
        <v>0.38</v>
      </c>
      <c r="H38">
        <f>Table1[[#This Row],[Win]]-Table1[[#This Row],[Win2]]</f>
        <v>-18</v>
      </c>
      <c r="I38">
        <f>Table1[[#This Row],[Loss]]-Table1[[#This Row],[Loss3]]</f>
        <v>-30</v>
      </c>
      <c r="J38" s="4">
        <f>Table1[[#This Row],[Win Rate %]]-Table1[[#This Row],[Win Rate %4]]</f>
        <v>0.12</v>
      </c>
    </row>
    <row r="39" spans="1:10" x14ac:dyDescent="0.25">
      <c r="A39" s="1" t="s">
        <v>42</v>
      </c>
      <c r="B39" s="1">
        <f>SUM(B6:B38)</f>
        <v>168</v>
      </c>
      <c r="C39" s="1">
        <f>SUM(C6:C38)</f>
        <v>266</v>
      </c>
      <c r="D39" s="3">
        <f>AVERAGE(D20:D38,D6:D18)</f>
        <v>0.43571714766740488</v>
      </c>
      <c r="E39" s="1">
        <f>SUM(E6:E38)</f>
        <v>547</v>
      </c>
      <c r="F39" s="1">
        <f>SUM(F6:F38)</f>
        <v>791</v>
      </c>
      <c r="G39" s="3">
        <f>AVERAGE(G6:G38)</f>
        <v>0.40986459812282167</v>
      </c>
      <c r="H39" s="1"/>
      <c r="I39" s="1"/>
      <c r="J39" s="1"/>
    </row>
    <row r="40" spans="1:10" x14ac:dyDescent="0.25">
      <c r="B40" s="5">
        <f>B39+C39</f>
        <v>434</v>
      </c>
      <c r="C40" s="5"/>
      <c r="E40" s="5">
        <f>E39+F39</f>
        <v>1338</v>
      </c>
      <c r="F40" s="5"/>
      <c r="H40" s="5">
        <f>B40-E40</f>
        <v>-904</v>
      </c>
      <c r="I40" s="5"/>
    </row>
  </sheetData>
  <mergeCells count="6">
    <mergeCell ref="B4:D4"/>
    <mergeCell ref="E4:G4"/>
    <mergeCell ref="B40:C40"/>
    <mergeCell ref="E40:F40"/>
    <mergeCell ref="H4:J4"/>
    <mergeCell ref="H40:I4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 rzeminski</dc:creator>
  <cp:lastModifiedBy>hubert rzeminski</cp:lastModifiedBy>
  <dcterms:created xsi:type="dcterms:W3CDTF">2025-12-23T15:33:33Z</dcterms:created>
  <dcterms:modified xsi:type="dcterms:W3CDTF">2025-12-26T10:26:25Z</dcterms:modified>
</cp:coreProperties>
</file>